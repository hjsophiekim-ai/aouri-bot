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1"/>
  <workbookPr/>
  <mc:AlternateContent xmlns:mc="http://schemas.openxmlformats.org/markup-compatibility/2006">
    <mc:Choice Requires="x15">
      <x15ac:absPath xmlns:x15ac="http://schemas.microsoft.com/office/spreadsheetml/2010/11/ac" url="C:\Users\김현주\Desktop\계약서검토\240703_공간사업부 일용직 근로계약서\"/>
    </mc:Choice>
  </mc:AlternateContent>
  <xr:revisionPtr revIDLastSave="0" documentId="8_{9E4EFEC7-B99C-4EEB-96F8-8D96F62D2AE4}" xr6:coauthVersionLast="36" xr6:coauthVersionMax="36" xr10:uidLastSave="{00000000-0000-0000-0000-000000000000}"/>
  <bookViews>
    <workbookView xWindow="0" yWindow="0" windowWidth="19200" windowHeight="6170" activeTab="1" xr2:uid="{00000000-000D-0000-FFFF-FFFF00000000}"/>
  </bookViews>
  <sheets>
    <sheet name="입력" sheetId="5" r:id="rId1"/>
    <sheet name="계약서" sheetId="3" r:id="rId2"/>
  </sheets>
  <definedNames>
    <definedName name="_xlnm.Print_Area" localSheetId="1">계약서!$A$1:$AB$77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5" i="3" l="1"/>
  <c r="AG15" i="3" s="1"/>
  <c r="AF14" i="3"/>
  <c r="AG14" i="3" s="1"/>
  <c r="AF13" i="3"/>
  <c r="AG13" i="3" s="1"/>
  <c r="AF12" i="3"/>
  <c r="AG12" i="3" s="1"/>
  <c r="A74" i="3" l="1"/>
  <c r="S6" i="3"/>
  <c r="S5" i="3"/>
  <c r="F6" i="3"/>
  <c r="F5" i="3"/>
  <c r="H9" i="3"/>
  <c r="E9" i="3"/>
  <c r="O18" i="3"/>
  <c r="C18" i="3"/>
  <c r="D11" i="5"/>
  <c r="G38" i="3"/>
  <c r="K32" i="3"/>
  <c r="J35" i="3"/>
  <c r="M37" i="3"/>
  <c r="P37" i="3"/>
  <c r="V37" i="3"/>
  <c r="S37" i="3"/>
  <c r="E27" i="3" l="1"/>
  <c r="V38" i="3" l="1"/>
  <c r="P38" i="3" l="1"/>
  <c r="J38" i="3"/>
  <c r="J27" i="3" s="1"/>
  <c r="S38" i="3"/>
  <c r="M3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윤현정</author>
    <author xml:space="preserve">cp </author>
  </authors>
  <commentList>
    <comment ref="A10" authorId="0" shapeId="0" xr:uid="{E0CB3B92-E7E7-46D9-B1B2-C2E081270FD2}">
      <text>
        <r>
          <rPr>
            <b/>
            <sz val="9"/>
            <color indexed="81"/>
            <rFont val="돋움"/>
            <family val="3"/>
            <charset val="129"/>
          </rPr>
          <t>윤현정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근로기준법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</t>
        </r>
        <r>
          <rPr>
            <sz val="9"/>
            <color indexed="81"/>
            <rFont val="Tahoma"/>
            <family val="2"/>
          </rPr>
          <t xml:space="preserve"> 23</t>
        </r>
        <r>
          <rPr>
            <sz val="9"/>
            <color indexed="81"/>
            <rFont val="돋움"/>
            <family val="3"/>
            <charset val="129"/>
          </rPr>
          <t>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사용자가</t>
        </r>
        <r>
          <rPr>
            <sz val="9"/>
            <color indexed="81"/>
            <rFont val="Tahoma"/>
            <family val="2"/>
          </rPr>
          <t xml:space="preserve"> '</t>
        </r>
        <r>
          <rPr>
            <sz val="9"/>
            <color indexed="81"/>
            <rFont val="돋움"/>
            <family val="3"/>
            <charset val="129"/>
          </rPr>
          <t>정당한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이유</t>
        </r>
        <r>
          <rPr>
            <sz val="9"/>
            <color indexed="81"/>
            <rFont val="Tahoma"/>
            <family val="2"/>
          </rPr>
          <t xml:space="preserve">' </t>
        </r>
        <r>
          <rPr>
            <sz val="9"/>
            <color indexed="81"/>
            <rFont val="돋움"/>
            <family val="3"/>
            <charset val="129"/>
          </rPr>
          <t>없이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행위를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있습니다</t>
        </r>
        <r>
          <rPr>
            <sz val="9"/>
            <color indexed="81"/>
            <rFont val="Tahoma"/>
            <family val="2"/>
          </rPr>
          <t>.
2</t>
        </r>
        <r>
          <rPr>
            <sz val="9"/>
            <color indexed="81"/>
            <rFont val="돋움"/>
            <family val="3"/>
            <charset val="129"/>
          </rPr>
          <t>항사유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사유는</t>
        </r>
        <r>
          <rPr>
            <sz val="9"/>
            <color indexed="81"/>
            <rFont val="Tahoma"/>
            <family val="2"/>
          </rPr>
          <t xml:space="preserve"> '</t>
        </r>
        <r>
          <rPr>
            <sz val="9"/>
            <color indexed="81"/>
            <rFont val="돋움"/>
            <family val="3"/>
            <charset val="129"/>
          </rPr>
          <t>정당한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이유</t>
        </r>
        <r>
          <rPr>
            <sz val="9"/>
            <color indexed="81"/>
            <rFont val="Tahoma"/>
            <family val="2"/>
          </rPr>
          <t>'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보이며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항의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</t>
        </r>
        <r>
          <rPr>
            <sz val="9"/>
            <color indexed="81"/>
            <rFont val="Tahoma"/>
            <family val="2"/>
          </rPr>
          <t xml:space="preserve"> 6</t>
        </r>
        <r>
          <rPr>
            <sz val="9"/>
            <color indexed="81"/>
            <rFont val="돋움"/>
            <family val="3"/>
            <charset val="129"/>
          </rPr>
          <t>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해지사유에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포함시켰습니다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AF12" authorId="1" shapeId="0" xr:uid="{00000000-0006-0000-0100-000001000000}">
      <text>
        <r>
          <rPr>
            <b/>
            <sz val="9"/>
            <color indexed="81"/>
            <rFont val="Tahoma"/>
            <family val="2"/>
          </rPr>
          <t>cp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야간근무는</t>
        </r>
        <r>
          <rPr>
            <sz val="9"/>
            <color indexed="81"/>
            <rFont val="Tahoma"/>
            <family val="2"/>
          </rPr>
          <t xml:space="preserve"> 22</t>
        </r>
        <r>
          <rPr>
            <sz val="9"/>
            <color indexed="81"/>
            <rFont val="돋움"/>
            <family val="3"/>
            <charset val="129"/>
          </rPr>
          <t>시부터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익일</t>
        </r>
        <r>
          <rPr>
            <sz val="9"/>
            <color indexed="81"/>
            <rFont val="Tahoma"/>
            <family val="2"/>
          </rPr>
          <t xml:space="preserve"> 06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의미합니다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야간근무도</t>
        </r>
        <r>
          <rPr>
            <sz val="9"/>
            <color indexed="81"/>
            <rFont val="Tahoma"/>
            <family val="2"/>
          </rPr>
          <t xml:space="preserve"> 1.5 </t>
        </r>
        <r>
          <rPr>
            <sz val="9"/>
            <color indexed="81"/>
            <rFont val="돋움"/>
            <family val="3"/>
            <charset val="129"/>
          </rPr>
          <t>가산해야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다만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야간근무는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연장근무와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연동해서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연장근무에서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야간근무는</t>
        </r>
        <r>
          <rPr>
            <sz val="9"/>
            <color indexed="81"/>
            <rFont val="Tahoma"/>
            <family val="2"/>
          </rPr>
          <t xml:space="preserve"> 0.5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됩니다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AF13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cp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휴일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근로는</t>
        </r>
        <r>
          <rPr>
            <sz val="9"/>
            <color indexed="81"/>
            <rFont val="Tahoma"/>
            <family val="2"/>
          </rPr>
          <t xml:space="preserve"> 1.5 </t>
        </r>
        <r>
          <rPr>
            <sz val="9"/>
            <color indexed="81"/>
            <rFont val="돋움"/>
            <family val="3"/>
            <charset val="129"/>
          </rPr>
          <t>가산해야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AF14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cp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연장근로는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가산해야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연장근로를</t>
        </r>
        <r>
          <rPr>
            <sz val="9"/>
            <color indexed="81"/>
            <rFont val="Tahoma"/>
            <family val="2"/>
          </rPr>
          <t xml:space="preserve"> 0.5 </t>
        </r>
        <r>
          <rPr>
            <sz val="9"/>
            <color indexed="81"/>
            <rFont val="돋움"/>
            <family val="3"/>
            <charset val="129"/>
          </rPr>
          <t>가산하는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기본일당에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연장시간까지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경우입니다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예를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들어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기본일당이</t>
        </r>
        <r>
          <rPr>
            <sz val="9"/>
            <color indexed="81"/>
            <rFont val="Tahoma"/>
            <family val="2"/>
          </rPr>
          <t xml:space="preserve"> 9</t>
        </r>
        <r>
          <rPr>
            <sz val="9"/>
            <color indexed="81"/>
            <rFont val="돋움"/>
            <family val="3"/>
            <charset val="129"/>
          </rPr>
          <t>시간분을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반영했다면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연장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시간에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대해</t>
        </r>
        <r>
          <rPr>
            <sz val="9"/>
            <color indexed="81"/>
            <rFont val="Tahoma"/>
            <family val="2"/>
          </rPr>
          <t xml:space="preserve"> 0.5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됩니다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AF15" authorId="1" shapeId="0" xr:uid="{00000000-0006-0000-0100-000004000000}">
      <text>
        <r>
          <rPr>
            <b/>
            <sz val="9"/>
            <color indexed="81"/>
            <rFont val="Tahoma"/>
            <family val="2"/>
          </rPr>
          <t>cp 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일분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소정근로기준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주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공기가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늘어날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체불발생하지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않을지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체크필요합니다</t>
        </r>
        <r>
          <rPr>
            <sz val="9"/>
            <color indexed="81"/>
            <rFont val="Tahoma"/>
            <family val="2"/>
          </rPr>
          <t xml:space="preserve">.  </t>
        </r>
      </text>
    </comment>
    <comment ref="A19" authorId="0" shapeId="0" xr:uid="{D196E03D-1712-4A62-8B6A-734CA35C15E6}">
      <text>
        <r>
          <rPr>
            <b/>
            <sz val="9"/>
            <color indexed="81"/>
            <rFont val="돋움"/>
            <family val="3"/>
            <charset val="129"/>
          </rPr>
          <t>윤현정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근로기준법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</t>
        </r>
        <r>
          <rPr>
            <sz val="9"/>
            <color indexed="81"/>
            <rFont val="Tahoma"/>
            <family val="2"/>
          </rPr>
          <t xml:space="preserve"> 23</t>
        </r>
        <r>
          <rPr>
            <sz val="9"/>
            <color indexed="81"/>
            <rFont val="돋움"/>
            <family val="3"/>
            <charset val="129"/>
          </rPr>
          <t>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사용자가</t>
        </r>
        <r>
          <rPr>
            <sz val="9"/>
            <color indexed="81"/>
            <rFont val="Tahoma"/>
            <family val="2"/>
          </rPr>
          <t xml:space="preserve"> '</t>
        </r>
        <r>
          <rPr>
            <sz val="9"/>
            <color indexed="81"/>
            <rFont val="돋움"/>
            <family val="3"/>
            <charset val="129"/>
          </rPr>
          <t>정당한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이유</t>
        </r>
        <r>
          <rPr>
            <sz val="9"/>
            <color indexed="81"/>
            <rFont val="Tahoma"/>
            <family val="2"/>
          </rPr>
          <t xml:space="preserve">' </t>
        </r>
        <r>
          <rPr>
            <sz val="9"/>
            <color indexed="81"/>
            <rFont val="돋움"/>
            <family val="3"/>
            <charset val="129"/>
          </rPr>
          <t>없이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행위를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있습니다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사용자의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경영사정에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취업장소와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근로기준법상</t>
        </r>
        <r>
          <rPr>
            <sz val="9"/>
            <color indexed="81"/>
            <rFont val="Tahoma"/>
            <family val="2"/>
          </rPr>
          <t xml:space="preserve"> '</t>
        </r>
        <r>
          <rPr>
            <sz val="9"/>
            <color indexed="81"/>
            <rFont val="돋움"/>
            <family val="3"/>
            <charset val="129"/>
          </rPr>
          <t>정당한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이유</t>
        </r>
        <r>
          <rPr>
            <sz val="9"/>
            <color indexed="81"/>
            <rFont val="Tahoma"/>
            <family val="2"/>
          </rPr>
          <t>'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보입니다</t>
        </r>
        <r>
          <rPr>
            <sz val="9"/>
            <color indexed="81"/>
            <rFont val="Tahoma"/>
            <family val="2"/>
          </rPr>
          <t>. '</t>
        </r>
      </text>
    </comment>
    <comment ref="A61" authorId="0" shapeId="0" xr:uid="{F3A5AD64-46D9-4A62-AF4B-F85A98AE341E}">
      <text>
        <r>
          <rPr>
            <b/>
            <sz val="9"/>
            <color indexed="81"/>
            <rFont val="돋움"/>
            <family val="3"/>
            <charset val="129"/>
          </rPr>
          <t>윤현정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적용되는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보험을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체크한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계약체결을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해주시기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바랍니다</t>
        </r>
        <r>
          <rPr>
            <sz val="9"/>
            <color indexed="81"/>
            <rFont val="Tahoma"/>
            <family val="2"/>
          </rPr>
          <t xml:space="preserve">. </t>
        </r>
      </text>
    </comment>
  </commentList>
</comments>
</file>

<file path=xl/sharedStrings.xml><?xml version="1.0" encoding="utf-8"?>
<sst xmlns="http://schemas.openxmlformats.org/spreadsheetml/2006/main" count="125" uniqueCount="120">
  <si>
    <t>현장 일용직 근로계약서</t>
    <phoneticPr fontId="2" type="noConversion"/>
  </si>
  <si>
    <t>제 1 조 (당사자 표시)</t>
    <phoneticPr fontId="2" type="noConversion"/>
  </si>
  <si>
    <t>서울특별시 송파구 오금로 311 퍼시스 빌딩</t>
  </si>
  <si>
    <t>사업체명</t>
    <phoneticPr fontId="2" type="noConversion"/>
  </si>
  <si>
    <t>㈜퍼시스</t>
    <phoneticPr fontId="2" type="noConversion"/>
  </si>
  <si>
    <t>박광호</t>
    <phoneticPr fontId="2" type="noConversion"/>
  </si>
  <si>
    <t>주민등록번호</t>
    <phoneticPr fontId="2" type="noConversion"/>
  </si>
  <si>
    <t>연락처</t>
    <phoneticPr fontId="2" type="noConversion"/>
  </si>
  <si>
    <t>제 2 조 (근로계약기간)</t>
    <phoneticPr fontId="2" type="noConversion"/>
  </si>
  <si>
    <t>계약기간 내에도 조기에 현장이 종료되거나 "을"의 담당업무 및 공종이 종료된 때 근로계약기간은 자동 만료된다.</t>
    <phoneticPr fontId="2" type="noConversion"/>
  </si>
  <si>
    <t>아래(①항~②항)와 같은 사유가 발생 시에도 본 근로계약기간은 그 사유발생일에 자동 만료된다.</t>
    <phoneticPr fontId="2" type="noConversion"/>
  </si>
  <si>
    <t>① 발주처 또는 원청사의 계약해지, 공사중지 명령, 설계변경, 천재지변 등 기타 불가피한 사유로 인하여 작업이 중단되었을 때</t>
    <phoneticPr fontId="2" type="noConversion"/>
  </si>
  <si>
    <t>○ 일용직 근로계약기간 :</t>
    <phoneticPr fontId="2" type="noConversion"/>
  </si>
  <si>
    <t>제 3 조 (취업장소 및 취업직종)</t>
  </si>
  <si>
    <t>② 취업직종:</t>
  </si>
  <si>
    <t>③ 소정근로시간은 1일 8시간, 1주 40시간을 기준으로 하되, 발생할 수 있는 연장근로에 "을"은 동의한다.</t>
  </si>
  <si>
    <t>제 5 조 (임금: 포괄일급제)</t>
  </si>
  <si>
    <t>2. 휴일할증 : 시급×휴일(일)근로시간×50%</t>
  </si>
  <si>
    <t>4. 야간할증 : 시급×야간(밤10시-익일6시)근로시간×50%</t>
  </si>
  <si>
    <t>임금구성내역</t>
    <phoneticPr fontId="2" type="noConversion"/>
  </si>
  <si>
    <t>시간</t>
    <phoneticPr fontId="2" type="noConversion"/>
  </si>
  <si>
    <t>기본일당</t>
    <phoneticPr fontId="2" type="noConversion"/>
  </si>
  <si>
    <t>유급주휴</t>
    <phoneticPr fontId="2" type="noConversion"/>
  </si>
  <si>
    <t>연장근로수당</t>
    <phoneticPr fontId="2" type="noConversion"/>
  </si>
  <si>
    <t>야간할증</t>
    <phoneticPr fontId="2" type="noConversion"/>
  </si>
  <si>
    <t>휴일할증</t>
    <phoneticPr fontId="2" type="noConversion"/>
  </si>
  <si>
    <t>제 6 조 (근로계약 해지사유)</t>
  </si>
  <si>
    <t>① 안전수칙(안전용품 미착용 및 안전관리자 지시위반) 불이행 또는 회사규정 불이행으로 경고처분을 받고 현장에 근로를 제공할 수 없을 때</t>
  </si>
  <si>
    <t>② 정당한 업무지시 불이행 또는 고의ㆍ중대한 과실로 사고나 손실을 야기시킨 경우</t>
  </si>
  <si>
    <t>⑤ "갑"의 승인없이 타사의 작업현장에 취업한 때 또는 무단결근일을 주 3일 이상 또는 월 5일 이상 했을 때</t>
  </si>
  <si>
    <t>제 7 조 (기타조건)</t>
  </si>
  <si>
    <t>제 8 조 (안전장구지급확인)</t>
  </si>
  <si>
    <t>(인)</t>
    <phoneticPr fontId="2" type="noConversion"/>
  </si>
  <si>
    <t>② 휴게시간:</t>
    <phoneticPr fontId="2" type="noConversion"/>
  </si>
  <si>
    <t>제 4 조 (근로시간 및 휴게시간 : "갑"의 경영상 필요와 계절의 변화에 의해 변경할 수 있다.)</t>
    <phoneticPr fontId="2" type="noConversion"/>
  </si>
  <si>
    <t>① 취업장소:</t>
    <phoneticPr fontId="2" type="noConversion"/>
  </si>
  <si>
    <t>② "을"의 임금은 위 "①항" 기본일당에 제반수당이 포함된 포괄일당</t>
    <phoneticPr fontId="2" type="noConversion"/>
  </si>
  <si>
    <t>① "을"의 임금은 시간급</t>
    <phoneticPr fontId="2" type="noConversion"/>
  </si>
  <si>
    <t>1일 8시간 기본일당</t>
    <phoneticPr fontId="2" type="noConversion"/>
  </si>
  <si>
    <t>으로 하고, 법정수당은 다음과 같이 산정 지급한다.</t>
    <phoneticPr fontId="2" type="noConversion"/>
  </si>
  <si>
    <t>1. 연장근로수당 : 시급×연장(주40시간 초과근로)시간×50%</t>
    <phoneticPr fontId="2" type="noConversion"/>
  </si>
  <si>
    <t>3. 유급주휴수당 : 주 5일 이상 만근한 경우 시급×8시간</t>
    <phoneticPr fontId="2" type="noConversion"/>
  </si>
  <si>
    <t>에 동의한다.</t>
    <phoneticPr fontId="2" type="noConversion"/>
  </si>
  <si>
    <t>포괄일당
산정내역</t>
    <phoneticPr fontId="2" type="noConversion"/>
  </si>
  <si>
    <t>일당</t>
    <phoneticPr fontId="2" type="noConversion"/>
  </si>
  <si>
    <t>(  서명 / 인  )</t>
    <phoneticPr fontId="2" type="noConversion"/>
  </si>
  <si>
    <t>*지급계좌:</t>
    <phoneticPr fontId="2" type="noConversion"/>
  </si>
  <si>
    <t>⑤ 지급방법: 근로자 명의 예금통장에 입금</t>
    <phoneticPr fontId="2" type="noConversion"/>
  </si>
  <si>
    <t>④ 매월 임금 정산은 세금 및 4대 보험의 공제액 발생 시 “을”의 부담금액을 공제 후 지급한다</t>
    <phoneticPr fontId="2" type="noConversion"/>
  </si>
  <si>
    <t>이름</t>
    <phoneticPr fontId="2" type="noConversion"/>
  </si>
  <si>
    <t>02-3400-6253</t>
    <phoneticPr fontId="2" type="noConversion"/>
  </si>
  <si>
    <t>성명</t>
    <phoneticPr fontId="2" type="noConversion"/>
  </si>
  <si>
    <t>주소</t>
    <phoneticPr fontId="2" type="noConversion"/>
  </si>
  <si>
    <t>주민번호</t>
    <phoneticPr fontId="2" type="noConversion"/>
  </si>
  <si>
    <t>근로계약기간 시작일</t>
    <phoneticPr fontId="2" type="noConversion"/>
  </si>
  <si>
    <t>근로계약기간 종료일</t>
    <phoneticPr fontId="2" type="noConversion"/>
  </si>
  <si>
    <t>현장명</t>
    <phoneticPr fontId="2" type="noConversion"/>
  </si>
  <si>
    <t>직종</t>
    <phoneticPr fontId="2" type="noConversion"/>
  </si>
  <si>
    <t>지급계좌</t>
    <phoneticPr fontId="2" type="noConversion"/>
  </si>
  <si>
    <t>08:00 - 17:00 (휴일: 08:00 - 17:00)</t>
    <phoneticPr fontId="2" type="noConversion"/>
  </si>
  <si>
    <t>12:00 - 13:00 (휴일: 12:00 ~ 13:00)</t>
    <phoneticPr fontId="2" type="noConversion"/>
  </si>
  <si>
    <t>홍길동</t>
    <phoneticPr fontId="2" type="noConversion"/>
  </si>
  <si>
    <t>990101-1234567</t>
    <phoneticPr fontId="2" type="noConversion"/>
  </si>
  <si>
    <t>010-9999-9999</t>
    <phoneticPr fontId="2" type="noConversion"/>
  </si>
  <si>
    <t>㈜샘플 오피스 인테리어 공사</t>
    <phoneticPr fontId="2" type="noConversion"/>
  </si>
  <si>
    <t>설비</t>
    <phoneticPr fontId="2" type="noConversion"/>
  </si>
  <si>
    <t>9999-999-999999 샘플은행</t>
    <phoneticPr fontId="2" type="noConversion"/>
  </si>
  <si>
    <t>비고</t>
    <phoneticPr fontId="2" type="noConversion"/>
  </si>
  <si>
    <t>입력값</t>
    <phoneticPr fontId="2" type="noConversion"/>
  </si>
  <si>
    <t>내용</t>
    <phoneticPr fontId="2" type="noConversion"/>
  </si>
  <si>
    <t>~</t>
    <phoneticPr fontId="2" type="noConversion"/>
  </si>
  <si>
    <t>계약일</t>
    <phoneticPr fontId="2" type="noConversion"/>
  </si>
  <si>
    <t>제 9 조 (근로계약서 교부)</t>
    <phoneticPr fontId="2" type="noConversion"/>
  </si>
  <si>
    <t>① 법정 휴일은 주휴일(소정 근로일 만근) 및 근로자의 날(5.1)이며, 법정휴가(연차휴가 등)는 근로기준법에 따른다.</t>
    <phoneticPr fontId="2" type="noConversion"/>
  </si>
  <si>
    <t>① 기초 안전 보건 교육을 이수하였으며, 안전모, 안전화, 안전벨트 등 안전 장구 수령은 별도의 서식으로 확인 및 관리함에 동의한다.</t>
    <phoneticPr fontId="2" type="noConversion"/>
  </si>
  <si>
    <t>① 사업주는 근로계약의 체결과 동시에 본 계약서를 사본하여 근로자의 교부요구와 관계없이 근로자에게 교부한다. (근로기준법 제17조 이행)</t>
    <phoneticPr fontId="2" type="noConversion"/>
  </si>
  <si>
    <t>② 근로자는 근로계약서에 대해 교부 받았음을 확인한다.</t>
    <phoneticPr fontId="2" type="noConversion"/>
  </si>
  <si>
    <t>⑦ 불법체류자, 지명수배중에 있는자, 장해판정 등에 의거 노동력의 일부분이 상실되었음이 확인된 자는 채용될 수 없으며, 위 사실이 추후 발견된 경우 본 근로계약은 취소된다.</t>
    <phoneticPr fontId="2" type="noConversion"/>
  </si>
  <si>
    <t>③ 개인정보(성명, 주민등록번호,주소, 전화번호)를 현장내 출입관리, 공사 및 노무관리에 활용할 수 있도록 원청 및 발주처 관계자에게 제공하고 활용하는데 이의없이 동의한다.</t>
    <phoneticPr fontId="2" type="noConversion"/>
  </si>
  <si>
    <t>의사가 없어 근로계약 해지에 동의한 것으로 본다.</t>
    <phoneticPr fontId="2" type="noConversion"/>
  </si>
  <si>
    <t>② "을"이 계약기간 내에 타사의 건설현장에 취업 시 또는 "갑"의 동의없이 "을"이 건설현장에 대한 비품, 자산, 현장사진 등을 외부로 유출(사적으로 사용, 처분, 횡령 등 포함)하거나 또는</t>
    <phoneticPr fontId="2" type="noConversion"/>
  </si>
  <si>
    <t>현장 내외부 및 시설물에 대한 사진 촬영을 했을 때</t>
    <phoneticPr fontId="2" type="noConversion"/>
  </si>
  <si>
    <t>⑧ 일용근로자의 최종 인사권은 본사에 있으므로 현장에서 부당한 해고라 판단될 경우 즉시 본사에 보고하여 조치를 취할 수 있도록 한다. 최대 3일 이내 보고하지 않을 경우 근로제공의</t>
    <phoneticPr fontId="2" type="noConversion"/>
  </si>
  <si>
    <t>② “을”이 채용 전에 현장업무 수행과 인과관계가 있는 지병(질병)을 고지해야 하며 이를 숨기거나 허위로 작성된 건강진단서를 제출하고 현장에 채용된 후 근무 중에 지병(질병)의 사실이</t>
    <phoneticPr fontId="2" type="noConversion"/>
  </si>
  <si>
    <t>감수한다.</t>
    <phoneticPr fontId="2" type="noConversion"/>
  </si>
  <si>
    <t>확인된 경우에는 해당 시점에 “을”의 근로계약은 자동 해지되고, 지병(질병)에 따른 보상 (산재 및 민형사 포함) 책임도 “갑”에게는 없음을 인정하며 “을”이 모든(근로계약해지 및 보상) 책임을</t>
    <phoneticPr fontId="2" type="noConversion"/>
  </si>
  <si>
    <t>서울시 중구 중앙로 1길</t>
    <phoneticPr fontId="2" type="noConversion"/>
  </si>
  <si>
    <t>야간</t>
    <phoneticPr fontId="74" type="noConversion"/>
  </si>
  <si>
    <t>휴일</t>
    <phoneticPr fontId="74" type="noConversion"/>
  </si>
  <si>
    <t>주휴</t>
    <phoneticPr fontId="74" type="noConversion"/>
  </si>
  <si>
    <t>연장</t>
    <phoneticPr fontId="74" type="noConversion"/>
  </si>
  <si>
    <t>※포괄일당 산정내역 기준</t>
    <phoneticPr fontId="2" type="noConversion"/>
  </si>
  <si>
    <t>사업주
(갑)</t>
    <phoneticPr fontId="2" type="noConversion"/>
  </si>
  <si>
    <t>근로자
(을)</t>
    <phoneticPr fontId="2" type="noConversion"/>
  </si>
  <si>
    <t>③ 전 ①항 및 ②항은 “갑”의 경영사정에 따라 변경될 수 있으며, 건설업 특성상 “을”이 변경지시(전직 및 배치전환)에 불응 시에는 당해일로부터 근로계약은 자동 해지된다.</t>
    <phoneticPr fontId="2" type="noConversion"/>
  </si>
  <si>
    <t>③ 임금은 매월 1일에서 말일까지 정산하여, 익월에 1회 지급한다.</t>
    <phoneticPr fontId="2" type="noConversion"/>
  </si>
  <si>
    <t>※ 근로기준법 제 56조에 따라 소정 근로시간을 초과하여 근로한 경우, 야간에 근로한 경우 (22:00 ~ 06:00), 휴일에 근로한 경우에는 각각 시간급 통상임금의 50% 가산하여 지급한다.</t>
    <phoneticPr fontId="2" type="noConversion"/>
  </si>
  <si>
    <t xml:space="preserve">(갑) 사 업 주 : </t>
    <phoneticPr fontId="2" type="noConversion"/>
  </si>
  <si>
    <t>(주)퍼시스</t>
    <phoneticPr fontId="2" type="noConversion"/>
  </si>
  <si>
    <t>(을) 근 로 자 :</t>
    <phoneticPr fontId="2" type="noConversion"/>
  </si>
  <si>
    <t>소 재 지</t>
    <phoneticPr fontId="2" type="noConversion"/>
  </si>
  <si>
    <t>성    명</t>
    <phoneticPr fontId="2" type="noConversion"/>
  </si>
  <si>
    <t>주    소</t>
    <phoneticPr fontId="2" type="noConversion"/>
  </si>
  <si>
    <t>연    락    처</t>
    <phoneticPr fontId="2" type="noConversion"/>
  </si>
  <si>
    <t>연   락   처</t>
    <phoneticPr fontId="2" type="noConversion"/>
  </si>
  <si>
    <t>대   표   자</t>
    <phoneticPr fontId="2" type="noConversion"/>
  </si>
  <si>
    <t>※ 현장 정리, 해당 공종 마무리를 위해 소수의 인원으로 가동하고 있는 경우에도 현장 또는 공종이 종료된 것으로 본다.</t>
    <phoneticPr fontId="2" type="noConversion"/>
  </si>
  <si>
    <r>
      <t xml:space="preserve">④ 외국인근로자 : </t>
    </r>
    <r>
      <rPr>
        <b/>
        <sz val="9"/>
        <color rgb="FFFF0000"/>
        <rFont val="맑은 고딕"/>
        <family val="3"/>
        <charset val="129"/>
      </rPr>
      <t>법원 및 행정관청의 처분에 따라</t>
    </r>
    <r>
      <rPr>
        <sz val="9"/>
        <color theme="1"/>
        <rFont val="맑은 고딕"/>
        <family val="3"/>
        <charset val="129"/>
      </rPr>
      <t xml:space="preserve"> 사업장에서 외국인과 더 이상 고용관계를 유지할 수 없는 경우(시정지시 또는 처벌일에 근로계약은 해지되는 것에 동의한다)</t>
    </r>
    <phoneticPr fontId="2" type="noConversion"/>
  </si>
  <si>
    <r>
      <t xml:space="preserve">⑥ 도박, 풍기문란, 폭행, 파괴, 태업을 선도하는 등 </t>
    </r>
    <r>
      <rPr>
        <b/>
        <sz val="9"/>
        <color rgb="FFFF0000"/>
        <rFont val="맑은 고딕"/>
        <family val="3"/>
        <charset val="129"/>
      </rPr>
      <t xml:space="preserve">근로장소에서 불미스러운 행동을 하는 경우 </t>
    </r>
    <r>
      <rPr>
        <b/>
        <strike/>
        <sz val="9"/>
        <color rgb="FFFF0000"/>
        <rFont val="맑은 고딕"/>
        <family val="3"/>
        <charset val="129"/>
      </rPr>
      <t>불미한 행동을 하거나 모의한 때</t>
    </r>
    <phoneticPr fontId="2" type="noConversion"/>
  </si>
  <si>
    <r>
      <t xml:space="preserve">③ 신체(고혈압, 디스크 포함). 정신상 장애로 </t>
    </r>
    <r>
      <rPr>
        <b/>
        <sz val="9"/>
        <color rgb="FFFF0000"/>
        <rFont val="맑은 고딕"/>
        <family val="3"/>
        <charset val="129"/>
      </rPr>
      <t>현장에서 본 계약에 따른 업무수행이</t>
    </r>
    <r>
      <rPr>
        <sz val="9"/>
        <rFont val="맑은 고딕"/>
        <family val="3"/>
        <charset val="129"/>
      </rPr>
      <t xml:space="preserve"> 불가하다고 </t>
    </r>
    <r>
      <rPr>
        <b/>
        <sz val="9"/>
        <color rgb="FFFF0000"/>
        <rFont val="맑은 고딕"/>
        <family val="3"/>
        <charset val="129"/>
      </rPr>
      <t>객관적으로 인정되는 때</t>
    </r>
    <r>
      <rPr>
        <sz val="9"/>
        <rFont val="맑은 고딕"/>
        <family val="3"/>
        <charset val="129"/>
      </rPr>
      <t xml:space="preserve"> </t>
    </r>
    <r>
      <rPr>
        <b/>
        <strike/>
        <sz val="9"/>
        <color rgb="FFFF0000"/>
        <rFont val="맑은 고딕"/>
        <family val="3"/>
        <charset val="129"/>
      </rPr>
      <t>인정되었을 때</t>
    </r>
    <phoneticPr fontId="2" type="noConversion"/>
  </si>
  <si>
    <r>
      <t xml:space="preserve">④ “을”은 계약서에 정한 규정을 성실히 준수하고, 본 계약서에 없는 사항은 </t>
    </r>
    <r>
      <rPr>
        <b/>
        <strike/>
        <sz val="9"/>
        <color rgb="FFFF0000"/>
        <rFont val="맑은 고딕"/>
        <family val="3"/>
        <charset val="129"/>
      </rPr>
      <t>"갑"의 해석에 따르기로 한다.</t>
    </r>
    <r>
      <rPr>
        <b/>
        <sz val="9"/>
        <color rgb="FFFF0000"/>
        <rFont val="맑은 고딕"/>
        <family val="3"/>
        <charset val="129"/>
      </rPr>
      <t xml:space="preserve"> 「근로기준법」에서 정한 바에 따른다. </t>
    </r>
    <phoneticPr fontId="2" type="noConversion"/>
  </si>
  <si>
    <r>
      <t xml:space="preserve">① </t>
    </r>
    <r>
      <rPr>
        <b/>
        <sz val="9"/>
        <color rgb="FFFF0000"/>
        <rFont val="맑은 고딕"/>
        <family val="3"/>
        <charset val="129"/>
      </rPr>
      <t>소정</t>
    </r>
    <r>
      <rPr>
        <sz val="9"/>
        <color theme="1"/>
        <rFont val="맑은 고딕"/>
        <family val="3"/>
        <charset val="129"/>
      </rPr>
      <t>근로시간:</t>
    </r>
    <phoneticPr fontId="2" type="noConversion"/>
  </si>
  <si>
    <t>⑧ "을"이 계약기간 내에 타사의 건설현장에 취업 시 또는 "갑"의 동의없이 "을"이 건설현장에 대한 비품, 자산, 현장사진 등을 외부로 유출(사적으로 사용, 처분, 횡령 등 포함)하거나 또는</t>
    <phoneticPr fontId="2" type="noConversion"/>
  </si>
  <si>
    <t>④ "을"이 1주일 중 5일을 소정근로시간동안 근로한 경우 주당 1일을 유급휴일로 부여한다.</t>
    <phoneticPr fontId="2" type="noConversion"/>
  </si>
  <si>
    <t>제 10조 (근로기준법의 적용)</t>
    <phoneticPr fontId="2" type="noConversion"/>
  </si>
  <si>
    <t xml:space="preserve">① 본 근로계약서에 정함이 없는 사항은 「근로기준법」 등 관련 법령에서 정한 바에 따른다. </t>
    <phoneticPr fontId="2" type="noConversion"/>
  </si>
  <si>
    <t>⑤ 본 계약에 따른 사회보험은 다음 사항을 적용한다(해당란에 체크)</t>
    <phoneticPr fontId="2" type="noConversion"/>
  </si>
  <si>
    <t xml:space="preserve">     □ 고용보험  □ 산재보험  □ 국민연금  □ 건강보험 </t>
    <phoneticPr fontId="2" type="noConversion"/>
  </si>
  <si>
    <t>⑥ 연차유급휴가는 「근로기준법」에서 정하는 바에 따라 부여한다.</t>
    <phoneticPr fontId="2" type="noConversion"/>
  </si>
  <si>
    <t xml:space="preserve">⑦ "갑"과 "을"은 각자 본 계약, 취업규칙, 단체협약을 지키고 성실하게 이행하여야 한다.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</si>
</sst>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₩&quot;* #,##0_-;\-&quot;₩&quot;* #,##0_-;_-&quot;₩&quot;* &quot;-&quot;_-;_-@_-"/>
    <numFmt numFmtId="41" formatCode="_-* #,##0_-;\-* #,##0_-;_-* &quot;-&quot;_-;_-@_-"/>
    <numFmt numFmtId="176" formatCode="#,##0.0_);\(#,##0.0\)"/>
    <numFmt numFmtId="177" formatCode="0.00000000"/>
    <numFmt numFmtId="178" formatCode="&quot;月&quot;General&quot;판매시&quot;"/>
    <numFmt numFmtId="179" formatCode="\(#,##0\)"/>
    <numFmt numFmtId="180" formatCode="mm&quot;월&quot;\ dd&quot;일&quot;"/>
    <numFmt numFmtId="181" formatCode="_ * #,##0_ ;_ * \-#,##0_ ;_ * &quot;-&quot;_ ;_ @_ "/>
    <numFmt numFmtId="182" formatCode="&quot;₩&quot;#,##0_);[Red]\(&quot;₩&quot;#,##0\)"/>
    <numFmt numFmtId="183" formatCode="#0.00&quot;H&quot;"/>
  </numFmts>
  <fonts count="8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2"/>
      <name val="바탕체"/>
      <family val="1"/>
      <charset val="129"/>
    </font>
    <font>
      <i/>
      <sz val="12"/>
      <name val="바탕체"/>
      <family val="1"/>
      <charset val="129"/>
    </font>
    <font>
      <sz val="10"/>
      <name val="Times New Roman"/>
      <family val="1"/>
    </font>
    <font>
      <sz val="10"/>
      <name val="Helv"/>
      <family val="2"/>
    </font>
    <font>
      <sz val="10"/>
      <name val="MS Sans Serif"/>
      <family val="2"/>
    </font>
    <font>
      <sz val="12"/>
      <name val="굴림체"/>
      <family val="3"/>
      <charset val="129"/>
    </font>
    <font>
      <sz val="11"/>
      <color theme="0"/>
      <name val="맑은 고딕"/>
      <family val="3"/>
      <charset val="129"/>
      <scheme val="minor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ÙÅÁÃ¼"/>
      <family val="1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1"/>
      <name val="돋움"/>
      <family val="3"/>
      <charset val="129"/>
    </font>
    <font>
      <b/>
      <sz val="10"/>
      <name val="Helv"/>
      <family val="2"/>
    </font>
    <font>
      <sz val="8"/>
      <name val="돋움"/>
      <family val="3"/>
      <charset val="129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10"/>
      <name val="바탕체"/>
      <family val="1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name val="바탕체"/>
      <family val="1"/>
      <charset val="129"/>
    </font>
    <font>
      <sz val="11"/>
      <color rgb="FF9C0006"/>
      <name val="맑은 고딕"/>
      <family val="3"/>
      <charset val="129"/>
      <scheme val="minor"/>
    </font>
    <font>
      <u/>
      <sz val="9.6"/>
      <color indexed="36"/>
      <name val="바탕체"/>
      <family val="1"/>
      <charset val="129"/>
    </font>
    <font>
      <sz val="14"/>
      <name val="뼻뮝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3"/>
      <charset val="129"/>
    </font>
    <font>
      <sz val="11"/>
      <name val="굴림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2"/>
      <name val="뼻뮝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name val="명조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2"/>
      <name val="명조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새굴림"/>
      <family val="1"/>
      <charset val="129"/>
    </font>
    <font>
      <sz val="11"/>
      <color theme="1"/>
      <name val="맑은 고딕"/>
      <family val="2"/>
      <scheme val="minor"/>
    </font>
    <font>
      <sz val="8"/>
      <color theme="1"/>
      <name val="맑은 고딕"/>
      <family val="3"/>
      <charset val="129"/>
    </font>
    <font>
      <sz val="8"/>
      <color theme="1"/>
      <name val="맑은 고딕"/>
      <family val="2"/>
      <charset val="129"/>
    </font>
    <font>
      <u/>
      <sz val="11"/>
      <color indexed="1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4"/>
      <name val="돋움체"/>
      <family val="3"/>
      <charset val="129"/>
    </font>
    <font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u/>
      <sz val="9"/>
      <name val="맑은 고딕"/>
      <family val="3"/>
      <charset val="129"/>
    </font>
    <font>
      <sz val="9"/>
      <color theme="7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i/>
      <sz val="11"/>
      <color theme="1"/>
      <name val="맑은 고딕"/>
      <family val="3"/>
      <charset val="129"/>
      <scheme val="minor"/>
    </font>
    <font>
      <u/>
      <sz val="9"/>
      <name val="맑은 고딕"/>
      <family val="3"/>
      <charset val="129"/>
      <scheme val="minor"/>
    </font>
    <font>
      <sz val="9"/>
      <name val="굴림체"/>
      <family val="3"/>
      <charset val="129"/>
    </font>
    <font>
      <sz val="8"/>
      <name val="맑은 고딕"/>
      <family val="3"/>
      <charset val="129"/>
    </font>
    <font>
      <sz val="10"/>
      <name val="굴림체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b/>
      <strike/>
      <sz val="9"/>
      <color rgb="FFFF0000"/>
      <name val="맑은 고딕"/>
      <family val="3"/>
      <charset val="129"/>
    </font>
    <font>
      <b/>
      <strike/>
      <sz val="11"/>
      <color rgb="FFFF000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rgb="FFFF0000"/>
      <name val="맑은 고딕"/>
      <family val="3"/>
      <charset val="129"/>
    </font>
    <font>
      <sz val="9"/>
      <name val="맑은 고딕"/>
      <family val="3"/>
      <charset val="129"/>
    </font>
    <font>
      <b/>
      <strike/>
      <sz val="10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</borders>
  <cellStyleXfs count="83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7" fillId="0" borderId="0" applyNumberFormat="0" applyFill="0" applyBorder="0" applyAlignment="0" applyProtection="0"/>
    <xf numFmtId="0" fontId="5" fillId="0" borderId="0" applyFont="0" applyFill="0" applyBorder="0" applyAlignment="0" applyProtection="0"/>
    <xf numFmtId="0" fontId="8" fillId="0" borderId="0"/>
    <xf numFmtId="0" fontId="9" fillId="0" borderId="0"/>
    <xf numFmtId="0" fontId="8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8" fillId="0" borderId="0"/>
    <xf numFmtId="0" fontId="5" fillId="0" borderId="0"/>
    <xf numFmtId="0" fontId="10" fillId="0" borderId="0"/>
    <xf numFmtId="0" fontId="6" fillId="0" borderId="0"/>
    <xf numFmtId="0" fontId="5" fillId="0" borderId="0"/>
    <xf numFmtId="0" fontId="5" fillId="0" borderId="0"/>
    <xf numFmtId="0" fontId="8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8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6" fillId="0" borderId="0"/>
    <xf numFmtId="0" fontId="11" fillId="0" borderId="0"/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0" borderId="0"/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9" fillId="0" borderId="0" applyFill="0" applyBorder="0" applyAlignment="0"/>
    <xf numFmtId="0" fontId="20" fillId="0" borderId="0"/>
    <xf numFmtId="0" fontId="6" fillId="0" borderId="0">
      <protection locked="0"/>
    </xf>
    <xf numFmtId="0" fontId="2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>
      <protection locked="0"/>
    </xf>
    <xf numFmtId="0" fontId="2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8" fillId="0" borderId="0"/>
    <xf numFmtId="176" fontId="6" fillId="0" borderId="0">
      <protection locked="0"/>
    </xf>
    <xf numFmtId="176" fontId="6" fillId="0" borderId="0">
      <protection locked="0"/>
    </xf>
    <xf numFmtId="0" fontId="22" fillId="0" borderId="0" applyNumberFormat="0" applyFill="0" applyBorder="0" applyAlignment="0" applyProtection="0"/>
    <xf numFmtId="38" fontId="23" fillId="33" borderId="0" applyNumberFormat="0" applyBorder="0" applyAlignment="0" applyProtection="0"/>
    <xf numFmtId="0" fontId="24" fillId="0" borderId="0">
      <alignment horizontal="left"/>
    </xf>
    <xf numFmtId="0" fontId="25" fillId="0" borderId="12" applyNumberFormat="0" applyAlignment="0" applyProtection="0">
      <alignment horizontal="left" vertical="center"/>
    </xf>
    <xf numFmtId="0" fontId="25" fillId="0" borderId="13">
      <alignment horizontal="left" vertical="center"/>
    </xf>
    <xf numFmtId="0" fontId="26" fillId="0" borderId="0" applyNumberFormat="0" applyFill="0" applyBorder="0" applyAlignment="0" applyProtection="0"/>
    <xf numFmtId="176" fontId="6" fillId="0" borderId="0">
      <protection locked="0"/>
    </xf>
    <xf numFmtId="176" fontId="6" fillId="0" borderId="0">
      <protection locked="0"/>
    </xf>
    <xf numFmtId="0" fontId="27" fillId="0" borderId="0" applyNumberFormat="0" applyFill="0" applyBorder="0" applyAlignment="0" applyProtection="0"/>
    <xf numFmtId="10" fontId="23" fillId="34" borderId="10" applyNumberFormat="0" applyBorder="0" applyAlignment="0" applyProtection="0"/>
    <xf numFmtId="0" fontId="28" fillId="0" borderId="14"/>
    <xf numFmtId="177" fontId="6" fillId="0" borderId="0"/>
    <xf numFmtId="178" fontId="19" fillId="0" borderId="0"/>
    <xf numFmtId="0" fontId="5" fillId="0" borderId="0"/>
    <xf numFmtId="0" fontId="6" fillId="0" borderId="0">
      <protection locked="0"/>
    </xf>
    <xf numFmtId="10" fontId="5" fillId="0" borderId="0" applyFont="0" applyFill="0" applyBorder="0" applyAlignment="0" applyProtection="0"/>
    <xf numFmtId="0" fontId="6" fillId="0" borderId="0"/>
    <xf numFmtId="0" fontId="6" fillId="0" borderId="0"/>
    <xf numFmtId="0" fontId="29" fillId="0" borderId="0" applyNumberFormat="0" applyBorder="0" applyAlignment="0">
      <alignment horizontal="right"/>
    </xf>
    <xf numFmtId="0" fontId="28" fillId="0" borderId="0"/>
    <xf numFmtId="0" fontId="6" fillId="0" borderId="0"/>
    <xf numFmtId="0" fontId="6" fillId="0" borderId="0"/>
    <xf numFmtId="176" fontId="6" fillId="0" borderId="15">
      <protection locked="0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3" fontId="32" fillId="0" borderId="0">
      <alignment horizontal="left" wrapText="1"/>
    </xf>
    <xf numFmtId="179" fontId="32" fillId="0" borderId="0">
      <alignment horizontal="right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3" fontId="32" fillId="0" borderId="0">
      <alignment horizontal="left"/>
    </xf>
    <xf numFmtId="0" fontId="34" fillId="0" borderId="0" applyNumberFormat="0" applyFill="0" applyBorder="0" applyAlignment="0" applyProtection="0">
      <alignment vertical="top"/>
      <protection locked="0"/>
    </xf>
    <xf numFmtId="40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9" fontId="37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0" borderId="0"/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7" borderId="7" applyNumberFormat="0" applyAlignment="0" applyProtection="0">
      <alignment vertical="center"/>
    </xf>
    <xf numFmtId="0" fontId="42" fillId="7" borderId="7" applyNumberFormat="0" applyAlignment="0" applyProtection="0">
      <alignment vertical="center"/>
    </xf>
    <xf numFmtId="0" fontId="42" fillId="7" borderId="7" applyNumberFormat="0" applyAlignment="0" applyProtection="0">
      <alignment vertical="center"/>
    </xf>
    <xf numFmtId="0" fontId="42" fillId="7" borderId="7" applyNumberFormat="0" applyAlignment="0" applyProtection="0">
      <alignment vertical="center"/>
    </xf>
    <xf numFmtId="0" fontId="42" fillId="7" borderId="7" applyNumberFormat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0" fontId="5" fillId="0" borderId="0"/>
    <xf numFmtId="0" fontId="8" fillId="0" borderId="0"/>
    <xf numFmtId="0" fontId="8" fillId="0" borderId="0"/>
    <xf numFmtId="0" fontId="8" fillId="0" borderId="0"/>
    <xf numFmtId="0" fontId="44" fillId="0" borderId="16"/>
    <xf numFmtId="0" fontId="45" fillId="0" borderId="6" applyNumberFormat="0" applyFill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180" fontId="6" fillId="0" borderId="0" applyFill="0" applyBorder="0" applyAlignment="0" applyProtection="0"/>
    <xf numFmtId="0" fontId="46" fillId="5" borderId="4" applyNumberFormat="0" applyAlignment="0" applyProtection="0">
      <alignment vertical="center"/>
    </xf>
    <xf numFmtId="0" fontId="46" fillId="5" borderId="4" applyNumberFormat="0" applyAlignment="0" applyProtection="0">
      <alignment vertical="center"/>
    </xf>
    <xf numFmtId="0" fontId="46" fillId="5" borderId="4" applyNumberFormat="0" applyAlignment="0" applyProtection="0">
      <alignment vertical="center"/>
    </xf>
    <xf numFmtId="0" fontId="46" fillId="5" borderId="4" applyNumberFormat="0" applyAlignment="0" applyProtection="0">
      <alignment vertical="center"/>
    </xf>
    <xf numFmtId="0" fontId="46" fillId="5" borderId="4" applyNumberFormat="0" applyAlignment="0" applyProtection="0">
      <alignment vertical="center"/>
    </xf>
    <xf numFmtId="0" fontId="47" fillId="0" borderId="0"/>
    <xf numFmtId="0" fontId="48" fillId="0" borderId="1" applyNumberFormat="0" applyFill="0" applyAlignment="0" applyProtection="0">
      <alignment vertical="center"/>
    </xf>
    <xf numFmtId="0" fontId="48" fillId="0" borderId="1" applyNumberFormat="0" applyFill="0" applyAlignment="0" applyProtection="0">
      <alignment vertical="center"/>
    </xf>
    <xf numFmtId="0" fontId="48" fillId="0" borderId="1" applyNumberFormat="0" applyFill="0" applyAlignment="0" applyProtection="0">
      <alignment vertical="center"/>
    </xf>
    <xf numFmtId="0" fontId="48" fillId="0" borderId="1" applyNumberFormat="0" applyFill="0" applyAlignment="0" applyProtection="0">
      <alignment vertical="center"/>
    </xf>
    <xf numFmtId="0" fontId="48" fillId="0" borderId="1" applyNumberFormat="0" applyFill="0" applyAlignment="0" applyProtection="0">
      <alignment vertical="center"/>
    </xf>
    <xf numFmtId="0" fontId="49" fillId="0" borderId="2" applyNumberFormat="0" applyFill="0" applyAlignment="0" applyProtection="0">
      <alignment vertical="center"/>
    </xf>
    <xf numFmtId="0" fontId="49" fillId="0" borderId="2" applyNumberFormat="0" applyFill="0" applyAlignment="0" applyProtection="0">
      <alignment vertical="center"/>
    </xf>
    <xf numFmtId="0" fontId="49" fillId="0" borderId="2" applyNumberFormat="0" applyFill="0" applyAlignment="0" applyProtection="0">
      <alignment vertical="center"/>
    </xf>
    <xf numFmtId="0" fontId="49" fillId="0" borderId="2" applyNumberFormat="0" applyFill="0" applyAlignment="0" applyProtection="0">
      <alignment vertical="center"/>
    </xf>
    <xf numFmtId="0" fontId="49" fillId="0" borderId="2" applyNumberFormat="0" applyFill="0" applyAlignment="0" applyProtection="0">
      <alignment vertical="center"/>
    </xf>
    <xf numFmtId="0" fontId="50" fillId="0" borderId="3" applyNumberFormat="0" applyFill="0" applyAlignment="0" applyProtection="0">
      <alignment vertical="center"/>
    </xf>
    <xf numFmtId="0" fontId="50" fillId="0" borderId="3" applyNumberFormat="0" applyFill="0" applyAlignment="0" applyProtection="0">
      <alignment vertical="center"/>
    </xf>
    <xf numFmtId="0" fontId="50" fillId="0" borderId="3" applyNumberFormat="0" applyFill="0" applyAlignment="0" applyProtection="0">
      <alignment vertical="center"/>
    </xf>
    <xf numFmtId="0" fontId="50" fillId="0" borderId="3" applyNumberFormat="0" applyFill="0" applyAlignment="0" applyProtection="0">
      <alignment vertical="center"/>
    </xf>
    <xf numFmtId="0" fontId="50" fillId="0" borderId="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6" fillId="0" borderId="0"/>
    <xf numFmtId="0" fontId="53" fillId="6" borderId="5" applyNumberFormat="0" applyAlignment="0" applyProtection="0">
      <alignment vertical="center"/>
    </xf>
    <xf numFmtId="0" fontId="53" fillId="6" borderId="5" applyNumberFormat="0" applyAlignment="0" applyProtection="0">
      <alignment vertical="center"/>
    </xf>
    <xf numFmtId="0" fontId="53" fillId="6" borderId="5" applyNumberFormat="0" applyAlignment="0" applyProtection="0">
      <alignment vertical="center"/>
    </xf>
    <xf numFmtId="0" fontId="53" fillId="6" borderId="5" applyNumberFormat="0" applyAlignment="0" applyProtection="0">
      <alignment vertical="center"/>
    </xf>
    <xf numFmtId="0" fontId="53" fillId="6" borderId="5" applyNumberFormat="0" applyAlignment="0" applyProtection="0">
      <alignment vertical="center"/>
    </xf>
    <xf numFmtId="18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9" fillId="0" borderId="0"/>
    <xf numFmtId="0" fontId="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>
      <alignment vertical="center"/>
    </xf>
    <xf numFmtId="0" fontId="36" fillId="0" borderId="0">
      <alignment vertical="center"/>
    </xf>
    <xf numFmtId="0" fontId="19" fillId="0" borderId="0"/>
    <xf numFmtId="0" fontId="5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54" fillId="0" borderId="0"/>
    <xf numFmtId="0" fontId="38" fillId="0" borderId="0"/>
    <xf numFmtId="0" fontId="1" fillId="0" borderId="0">
      <alignment vertical="center"/>
    </xf>
    <xf numFmtId="0" fontId="3" fillId="0" borderId="0">
      <alignment vertical="center"/>
    </xf>
    <xf numFmtId="0" fontId="3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0"/>
    <xf numFmtId="0" fontId="19" fillId="0" borderId="0"/>
    <xf numFmtId="0" fontId="3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4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38" fillId="0" borderId="0"/>
    <xf numFmtId="0" fontId="1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5" fillId="0" borderId="0"/>
    <xf numFmtId="0" fontId="19" fillId="0" borderId="0"/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9" fillId="0" borderId="0"/>
    <xf numFmtId="0" fontId="58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61" fillId="0" borderId="0" xfId="0" applyFont="1">
      <alignment vertical="center"/>
    </xf>
    <xf numFmtId="0" fontId="62" fillId="0" borderId="0" xfId="0" applyFont="1">
      <alignment vertical="center"/>
    </xf>
    <xf numFmtId="0" fontId="62" fillId="0" borderId="0" xfId="0" applyFont="1" applyAlignment="1">
      <alignment vertical="center"/>
    </xf>
    <xf numFmtId="0" fontId="62" fillId="0" borderId="0" xfId="0" applyFont="1" applyAlignment="1">
      <alignment horizontal="center" vertical="center"/>
    </xf>
    <xf numFmtId="0" fontId="62" fillId="0" borderId="0" xfId="0" applyFont="1" applyAlignment="1">
      <alignment horizontal="left" vertical="center"/>
    </xf>
    <xf numFmtId="0" fontId="62" fillId="0" borderId="0" xfId="0" applyFont="1" applyAlignment="1">
      <alignment horizontal="right" vertical="center"/>
    </xf>
    <xf numFmtId="0" fontId="61" fillId="0" borderId="0" xfId="0" applyFont="1" applyBorder="1">
      <alignment vertical="center"/>
    </xf>
    <xf numFmtId="0" fontId="0" fillId="0" borderId="0" xfId="0" applyBorder="1">
      <alignment vertical="center"/>
    </xf>
    <xf numFmtId="0" fontId="62" fillId="0" borderId="0" xfId="0" applyFont="1" applyBorder="1">
      <alignment vertical="center"/>
    </xf>
    <xf numFmtId="0" fontId="63" fillId="0" borderId="0" xfId="0" applyFont="1">
      <alignment vertical="center"/>
    </xf>
    <xf numFmtId="0" fontId="64" fillId="0" borderId="0" xfId="0" applyFont="1" applyAlignment="1">
      <alignment vertical="center"/>
    </xf>
    <xf numFmtId="0" fontId="63" fillId="0" borderId="0" xfId="0" applyFont="1" applyFill="1">
      <alignment vertical="center"/>
    </xf>
    <xf numFmtId="0" fontId="65" fillId="0" borderId="0" xfId="0" applyFont="1">
      <alignment vertical="center"/>
    </xf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1" fontId="0" fillId="0" borderId="10" xfId="838" applyFont="1" applyBorder="1" applyAlignment="1">
      <alignment horizontal="center" vertical="center"/>
    </xf>
    <xf numFmtId="0" fontId="66" fillId="0" borderId="0" xfId="0" applyFont="1" applyFill="1" applyAlignment="1">
      <alignment vertical="center"/>
    </xf>
    <xf numFmtId="0" fontId="62" fillId="0" borderId="0" xfId="0" applyFont="1" applyFill="1">
      <alignment vertical="center"/>
    </xf>
    <xf numFmtId="0" fontId="0" fillId="0" borderId="0" xfId="0" applyFill="1">
      <alignment vertical="center"/>
    </xf>
    <xf numFmtId="0" fontId="4" fillId="0" borderId="10" xfId="0" applyFont="1" applyBorder="1" applyAlignment="1">
      <alignment horizontal="center" vertical="center"/>
    </xf>
    <xf numFmtId="0" fontId="4" fillId="35" borderId="10" xfId="0" applyFont="1" applyFill="1" applyBorder="1" applyAlignment="1">
      <alignment horizontal="center" vertical="center"/>
    </xf>
    <xf numFmtId="0" fontId="70" fillId="0" borderId="0" xfId="0" applyFont="1" applyAlignment="1">
      <alignment vertical="center"/>
    </xf>
    <xf numFmtId="0" fontId="71" fillId="0" borderId="10" xfId="0" applyFont="1" applyBorder="1">
      <alignment vertical="center"/>
    </xf>
    <xf numFmtId="0" fontId="72" fillId="0" borderId="0" xfId="0" applyFont="1">
      <alignment vertical="center"/>
    </xf>
    <xf numFmtId="31" fontId="68" fillId="0" borderId="0" xfId="0" applyNumberFormat="1" applyFont="1" applyAlignment="1">
      <alignment horizontal="center" vertical="center"/>
    </xf>
    <xf numFmtId="0" fontId="73" fillId="0" borderId="0" xfId="688" applyFont="1" applyFill="1" applyAlignment="1">
      <alignment vertical="center" wrapText="1"/>
    </xf>
    <xf numFmtId="0" fontId="75" fillId="0" borderId="0" xfId="688" applyFont="1" applyFill="1" applyAlignment="1">
      <alignment vertical="center"/>
    </xf>
    <xf numFmtId="0" fontId="3" fillId="0" borderId="0" xfId="0" applyFont="1">
      <alignment vertical="center"/>
    </xf>
    <xf numFmtId="0" fontId="69" fillId="0" borderId="10" xfId="688" applyFont="1" applyFill="1" applyBorder="1" applyAlignment="1">
      <alignment vertical="center" wrapText="1"/>
    </xf>
    <xf numFmtId="0" fontId="79" fillId="0" borderId="0" xfId="0" applyFont="1">
      <alignment vertical="center"/>
    </xf>
    <xf numFmtId="0" fontId="69" fillId="0" borderId="10" xfId="688" applyFont="1" applyFill="1" applyBorder="1" applyAlignment="1">
      <alignment vertical="center"/>
    </xf>
    <xf numFmtId="31" fontId="68" fillId="0" borderId="0" xfId="0" applyNumberFormat="1" applyFont="1" applyAlignment="1">
      <alignment horizontal="left" vertical="center"/>
    </xf>
    <xf numFmtId="31" fontId="69" fillId="0" borderId="0" xfId="0" applyNumberFormat="1" applyFont="1" applyAlignment="1">
      <alignment horizontal="left" vertical="center"/>
    </xf>
    <xf numFmtId="31" fontId="69" fillId="0" borderId="0" xfId="0" applyNumberFormat="1" applyFont="1" applyAlignment="1">
      <alignment horizontal="center" vertical="center"/>
    </xf>
    <xf numFmtId="0" fontId="62" fillId="36" borderId="0" xfId="0" applyFont="1" applyFill="1">
      <alignment vertical="center"/>
    </xf>
    <xf numFmtId="0" fontId="0" fillId="36" borderId="0" xfId="0" applyFill="1">
      <alignment vertical="center"/>
    </xf>
    <xf numFmtId="0" fontId="80" fillId="36" borderId="0" xfId="0" applyFont="1" applyFill="1">
      <alignment vertical="center"/>
    </xf>
    <xf numFmtId="0" fontId="81" fillId="36" borderId="0" xfId="0" applyFont="1" applyFill="1">
      <alignment vertical="center"/>
    </xf>
    <xf numFmtId="0" fontId="83" fillId="36" borderId="0" xfId="0" applyFont="1" applyFill="1">
      <alignment vertical="center"/>
    </xf>
    <xf numFmtId="0" fontId="84" fillId="36" borderId="0" xfId="0" applyFont="1" applyFill="1">
      <alignment vertical="center"/>
    </xf>
    <xf numFmtId="0" fontId="67" fillId="35" borderId="0" xfId="0" applyFont="1" applyFill="1" applyAlignment="1">
      <alignment horizontal="center" vertical="center"/>
    </xf>
    <xf numFmtId="0" fontId="83" fillId="0" borderId="0" xfId="0" applyFont="1">
      <alignment vertical="center"/>
    </xf>
    <xf numFmtId="0" fontId="83" fillId="0" borderId="0" xfId="0" applyFont="1" applyAlignment="1">
      <alignment vertical="center"/>
    </xf>
    <xf numFmtId="0" fontId="80" fillId="0" borderId="0" xfId="0" applyFont="1" applyAlignment="1">
      <alignment vertical="center"/>
    </xf>
    <xf numFmtId="0" fontId="85" fillId="0" borderId="0" xfId="0" applyFont="1">
      <alignment vertical="center"/>
    </xf>
    <xf numFmtId="0" fontId="81" fillId="0" borderId="0" xfId="0" applyFont="1">
      <alignment vertical="center"/>
    </xf>
    <xf numFmtId="0" fontId="80" fillId="0" borderId="0" xfId="0" applyFont="1">
      <alignment vertical="center"/>
    </xf>
    <xf numFmtId="0" fontId="83" fillId="0" borderId="0" xfId="0" applyFont="1" applyAlignment="1">
      <alignment horizontal="left" vertical="center"/>
    </xf>
    <xf numFmtId="0" fontId="86" fillId="0" borderId="0" xfId="0" applyFont="1">
      <alignment vertical="center"/>
    </xf>
    <xf numFmtId="0" fontId="67" fillId="35" borderId="0" xfId="0" applyFont="1" applyFill="1" applyAlignment="1">
      <alignment horizontal="center" vertical="center"/>
    </xf>
    <xf numFmtId="182" fontId="68" fillId="0" borderId="0" xfId="0" applyNumberFormat="1" applyFont="1" applyBorder="1" applyAlignment="1">
      <alignment horizontal="center" vertical="center"/>
    </xf>
    <xf numFmtId="183" fontId="62" fillId="0" borderId="17" xfId="0" applyNumberFormat="1" applyFont="1" applyBorder="1" applyAlignment="1">
      <alignment horizontal="center" vertical="center"/>
    </xf>
    <xf numFmtId="183" fontId="62" fillId="0" borderId="13" xfId="0" applyNumberFormat="1" applyFont="1" applyBorder="1" applyAlignment="1">
      <alignment horizontal="center" vertical="center"/>
    </xf>
    <xf numFmtId="183" fontId="62" fillId="0" borderId="11" xfId="0" applyNumberFormat="1" applyFont="1" applyBorder="1" applyAlignment="1">
      <alignment horizontal="center" vertical="center"/>
    </xf>
    <xf numFmtId="0" fontId="62" fillId="0" borderId="10" xfId="0" applyFont="1" applyBorder="1" applyAlignment="1">
      <alignment horizontal="center" vertical="center"/>
    </xf>
    <xf numFmtId="0" fontId="62" fillId="0" borderId="17" xfId="0" applyFont="1" applyBorder="1" applyAlignment="1">
      <alignment horizontal="center" vertical="center"/>
    </xf>
    <xf numFmtId="0" fontId="62" fillId="0" borderId="13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10" xfId="0" applyFont="1" applyFill="1" applyBorder="1" applyAlignment="1">
      <alignment horizontal="center" vertical="center" wrapText="1"/>
    </xf>
    <xf numFmtId="0" fontId="62" fillId="0" borderId="10" xfId="0" applyFont="1" applyFill="1" applyBorder="1" applyAlignment="1">
      <alignment horizontal="center" vertical="center"/>
    </xf>
    <xf numFmtId="0" fontId="62" fillId="0" borderId="17" xfId="0" applyFont="1" applyFill="1" applyBorder="1" applyAlignment="1">
      <alignment horizontal="center" vertical="center"/>
    </xf>
    <xf numFmtId="0" fontId="62" fillId="0" borderId="13" xfId="0" applyFont="1" applyFill="1" applyBorder="1" applyAlignment="1">
      <alignment horizontal="center" vertical="center"/>
    </xf>
    <xf numFmtId="0" fontId="62" fillId="0" borderId="11" xfId="0" applyFont="1" applyFill="1" applyBorder="1" applyAlignment="1">
      <alignment horizontal="center" vertical="center"/>
    </xf>
    <xf numFmtId="14" fontId="72" fillId="0" borderId="0" xfId="0" applyNumberFormat="1" applyFont="1" applyAlignment="1">
      <alignment horizontal="center" vertical="center"/>
    </xf>
    <xf numFmtId="31" fontId="68" fillId="0" borderId="0" xfId="0" applyNumberFormat="1" applyFont="1" applyAlignment="1">
      <alignment horizontal="center" vertical="center"/>
    </xf>
    <xf numFmtId="0" fontId="62" fillId="0" borderId="10" xfId="0" applyFont="1" applyBorder="1" applyAlignment="1">
      <alignment horizontal="center" vertical="center" wrapText="1"/>
    </xf>
    <xf numFmtId="182" fontId="69" fillId="0" borderId="17" xfId="0" applyNumberFormat="1" applyFont="1" applyBorder="1" applyAlignment="1">
      <alignment horizontal="center" vertical="center"/>
    </xf>
    <xf numFmtId="182" fontId="69" fillId="0" borderId="13" xfId="0" applyNumberFormat="1" applyFont="1" applyBorder="1" applyAlignment="1">
      <alignment horizontal="center" vertical="center"/>
    </xf>
    <xf numFmtId="182" fontId="69" fillId="0" borderId="11" xfId="0" applyNumberFormat="1" applyFont="1" applyBorder="1" applyAlignment="1">
      <alignment horizontal="center" vertical="center"/>
    </xf>
    <xf numFmtId="182" fontId="62" fillId="0" borderId="17" xfId="0" applyNumberFormat="1" applyFont="1" applyBorder="1" applyAlignment="1">
      <alignment horizontal="center" vertical="center"/>
    </xf>
    <xf numFmtId="182" fontId="62" fillId="0" borderId="13" xfId="0" applyNumberFormat="1" applyFont="1" applyBorder="1" applyAlignment="1">
      <alignment horizontal="center" vertical="center"/>
    </xf>
    <xf numFmtId="182" fontId="62" fillId="0" borderId="11" xfId="0" applyNumberFormat="1" applyFont="1" applyBorder="1" applyAlignment="1">
      <alignment horizontal="center" vertical="center"/>
    </xf>
  </cellXfs>
  <cellStyles count="839">
    <cellStyle name="_x0014_" xfId="2" xr:uid="{00000000-0005-0000-0000-000000000000}"/>
    <cellStyle name="          _x000d__x000a_386grabber=AVGA.3GR_x000d_" xfId="3" xr:uid="{00000000-0005-0000-0000-000001000000}"/>
    <cellStyle name="          _x000d__x000a_shell=progman.exe_x000d__x000a_m" xfId="4" xr:uid="{00000000-0005-0000-0000-000002000000}"/>
    <cellStyle name="??_x000c_溜_x0012__x000d_肥U_x0001_?_x0006_?_x0007__x0001__x0001_" xfId="5" xr:uid="{00000000-0005-0000-0000-000003000000}"/>
    <cellStyle name="??&amp;O?&amp;H?_x0008__x000f__x0007_?_x0007__x0001__x0001_" xfId="6" xr:uid="{00000000-0005-0000-0000-000004000000}"/>
    <cellStyle name="??&amp;O?&amp;H?_x0008_??_x0007__x0001__x0001_" xfId="7" xr:uid="{00000000-0005-0000-0000-000005000000}"/>
    <cellStyle name="??&amp;O?&amp;H?_x0008_x_x000b_P_x000c__x0007__x0001__x0001_" xfId="8" xr:uid="{00000000-0005-0000-0000-000006000000}"/>
    <cellStyle name="??&amp;쏗?뷐9_x0008__x0011__x0007_?_x0007__x0001__x0001_" xfId="9" xr:uid="{00000000-0005-0000-0000-000007000000}"/>
    <cellStyle name="_'99상반기경영개선활동결과(게시용)" xfId="10" xr:uid="{00000000-0005-0000-0000-000008000000}"/>
    <cellStyle name="_경주" xfId="11" xr:uid="{00000000-0005-0000-0000-000009000000}"/>
    <cellStyle name="_구매(매입)-한화국토-WP" xfId="12" xr:uid="{00000000-0005-0000-0000-00000A000000}"/>
    <cellStyle name="_별첨(계획서및실적서양식)" xfId="13" xr:uid="{00000000-0005-0000-0000-00000B000000}"/>
    <cellStyle name="_별첨(계획서및실적서양식)_1" xfId="14" xr:uid="{00000000-0005-0000-0000-00000C000000}"/>
    <cellStyle name="_세미나-2001~2002년 중역용 제품 운영 계획" xfId="15" xr:uid="{00000000-0005-0000-0000-00000D000000}"/>
    <cellStyle name="_양식" xfId="16" xr:uid="{00000000-0005-0000-0000-00000E000000}"/>
    <cellStyle name="_양식_1" xfId="17" xr:uid="{00000000-0005-0000-0000-00000F000000}"/>
    <cellStyle name="_양식_2" xfId="18" xr:uid="{00000000-0005-0000-0000-000010000000}"/>
    <cellStyle name="_유첨3(서식)" xfId="19" xr:uid="{00000000-0005-0000-0000-000011000000}"/>
    <cellStyle name="_유첨3(서식)_1" xfId="20" xr:uid="{00000000-0005-0000-0000-000012000000}"/>
    <cellStyle name="_자금운용표(08월)" xfId="21" xr:uid="{00000000-0005-0000-0000-000013000000}"/>
    <cellStyle name="_자금운용표(5월)" xfId="22" xr:uid="{00000000-0005-0000-0000-000014000000}"/>
    <cellStyle name="_재무제표(1분기)" xfId="23" xr:uid="{00000000-0005-0000-0000-000015000000}"/>
    <cellStyle name="_지정과제2차심의list" xfId="24" xr:uid="{00000000-0005-0000-0000-000016000000}"/>
    <cellStyle name="_지정과제2차심의list_1" xfId="25" xr:uid="{00000000-0005-0000-0000-000017000000}"/>
    <cellStyle name="_지정과제2차심의list_2" xfId="26" xr:uid="{00000000-0005-0000-0000-000018000000}"/>
    <cellStyle name="_지정과제2차심의결과" xfId="27" xr:uid="{00000000-0005-0000-0000-000019000000}"/>
    <cellStyle name="_지정과제2차심의결과(금액조정후최종)" xfId="28" xr:uid="{00000000-0005-0000-0000-00001A000000}"/>
    <cellStyle name="_지정과제2차심의결과(금액조정후최종)_1" xfId="29" xr:uid="{00000000-0005-0000-0000-00001B000000}"/>
    <cellStyle name="_지정과제2차심의결과_1" xfId="30" xr:uid="{00000000-0005-0000-0000-00001C000000}"/>
    <cellStyle name="_집중관리(981231)" xfId="31" xr:uid="{00000000-0005-0000-0000-00001D000000}"/>
    <cellStyle name="_집중관리(981231)_1" xfId="32" xr:uid="{00000000-0005-0000-0000-00001E000000}"/>
    <cellStyle name="_집중관리(지정과제및 양식)" xfId="33" xr:uid="{00000000-0005-0000-0000-00001F000000}"/>
    <cellStyle name="_집중관리(지정과제및 양식)_1" xfId="34" xr:uid="{00000000-0005-0000-0000-000020000000}"/>
    <cellStyle name="_첨부-2001~2002년 중역용 제품 운영 계획1" xfId="35" xr:uid="{00000000-0005-0000-0000-000021000000}"/>
    <cellStyle name="_현금흐름표와 자금운용표" xfId="36" xr:uid="{00000000-0005-0000-0000-000022000000}"/>
    <cellStyle name="⥜준_제강원가최종_1" xfId="37" xr:uid="{00000000-0005-0000-0000-000023000000}"/>
    <cellStyle name="20% - 강조색1 2" xfId="38" xr:uid="{00000000-0005-0000-0000-000024000000}"/>
    <cellStyle name="20% - 강조색1 2 2" xfId="39" xr:uid="{00000000-0005-0000-0000-000025000000}"/>
    <cellStyle name="20% - 강조색1 2 3" xfId="40" xr:uid="{00000000-0005-0000-0000-000026000000}"/>
    <cellStyle name="20% - 강조색1 2 3 2" xfId="41" xr:uid="{00000000-0005-0000-0000-000027000000}"/>
    <cellStyle name="20% - 강조색1 2 3 3" xfId="42" xr:uid="{00000000-0005-0000-0000-000028000000}"/>
    <cellStyle name="20% - 강조색1 3" xfId="43" xr:uid="{00000000-0005-0000-0000-000029000000}"/>
    <cellStyle name="20% - 강조색1 4" xfId="44" xr:uid="{00000000-0005-0000-0000-00002A000000}"/>
    <cellStyle name="20% - 강조색1 5" xfId="45" xr:uid="{00000000-0005-0000-0000-00002B000000}"/>
    <cellStyle name="20% - 강조색1 6" xfId="46" xr:uid="{00000000-0005-0000-0000-00002C000000}"/>
    <cellStyle name="20% - 강조색1 7" xfId="47" xr:uid="{00000000-0005-0000-0000-00002D000000}"/>
    <cellStyle name="20% - 강조색1 7 2" xfId="48" xr:uid="{00000000-0005-0000-0000-00002E000000}"/>
    <cellStyle name="20% - 강조색1 7 3" xfId="49" xr:uid="{00000000-0005-0000-0000-00002F000000}"/>
    <cellStyle name="20% - 강조색2 2" xfId="50" xr:uid="{00000000-0005-0000-0000-000030000000}"/>
    <cellStyle name="20% - 강조색2 2 2" xfId="51" xr:uid="{00000000-0005-0000-0000-000031000000}"/>
    <cellStyle name="20% - 강조색2 2 3" xfId="52" xr:uid="{00000000-0005-0000-0000-000032000000}"/>
    <cellStyle name="20% - 강조색2 2 3 2" xfId="53" xr:uid="{00000000-0005-0000-0000-000033000000}"/>
    <cellStyle name="20% - 강조색2 2 3 3" xfId="54" xr:uid="{00000000-0005-0000-0000-000034000000}"/>
    <cellStyle name="20% - 강조색2 3" xfId="55" xr:uid="{00000000-0005-0000-0000-000035000000}"/>
    <cellStyle name="20% - 강조색2 4" xfId="56" xr:uid="{00000000-0005-0000-0000-000036000000}"/>
    <cellStyle name="20% - 강조색2 5" xfId="57" xr:uid="{00000000-0005-0000-0000-000037000000}"/>
    <cellStyle name="20% - 강조색2 6" xfId="58" xr:uid="{00000000-0005-0000-0000-000038000000}"/>
    <cellStyle name="20% - 강조색2 7" xfId="59" xr:uid="{00000000-0005-0000-0000-000039000000}"/>
    <cellStyle name="20% - 강조색2 7 2" xfId="60" xr:uid="{00000000-0005-0000-0000-00003A000000}"/>
    <cellStyle name="20% - 강조색2 7 3" xfId="61" xr:uid="{00000000-0005-0000-0000-00003B000000}"/>
    <cellStyle name="20% - 강조색3 2" xfId="62" xr:uid="{00000000-0005-0000-0000-00003C000000}"/>
    <cellStyle name="20% - 강조색3 2 2" xfId="63" xr:uid="{00000000-0005-0000-0000-00003D000000}"/>
    <cellStyle name="20% - 강조색3 2 3" xfId="64" xr:uid="{00000000-0005-0000-0000-00003E000000}"/>
    <cellStyle name="20% - 강조색3 2 3 2" xfId="65" xr:uid="{00000000-0005-0000-0000-00003F000000}"/>
    <cellStyle name="20% - 강조색3 2 3 3" xfId="66" xr:uid="{00000000-0005-0000-0000-000040000000}"/>
    <cellStyle name="20% - 강조색3 3" xfId="67" xr:uid="{00000000-0005-0000-0000-000041000000}"/>
    <cellStyle name="20% - 강조색3 4" xfId="68" xr:uid="{00000000-0005-0000-0000-000042000000}"/>
    <cellStyle name="20% - 강조색3 5" xfId="69" xr:uid="{00000000-0005-0000-0000-000043000000}"/>
    <cellStyle name="20% - 강조색3 6" xfId="70" xr:uid="{00000000-0005-0000-0000-000044000000}"/>
    <cellStyle name="20% - 강조색3 7" xfId="71" xr:uid="{00000000-0005-0000-0000-000045000000}"/>
    <cellStyle name="20% - 강조색3 7 2" xfId="72" xr:uid="{00000000-0005-0000-0000-000046000000}"/>
    <cellStyle name="20% - 강조색3 7 3" xfId="73" xr:uid="{00000000-0005-0000-0000-000047000000}"/>
    <cellStyle name="20% - 강조색4 2" xfId="74" xr:uid="{00000000-0005-0000-0000-000048000000}"/>
    <cellStyle name="20% - 강조색4 2 2" xfId="75" xr:uid="{00000000-0005-0000-0000-000049000000}"/>
    <cellStyle name="20% - 강조색4 2 3" xfId="76" xr:uid="{00000000-0005-0000-0000-00004A000000}"/>
    <cellStyle name="20% - 강조색4 2 3 2" xfId="77" xr:uid="{00000000-0005-0000-0000-00004B000000}"/>
    <cellStyle name="20% - 강조색4 2 3 3" xfId="78" xr:uid="{00000000-0005-0000-0000-00004C000000}"/>
    <cellStyle name="20% - 강조색4 3" xfId="79" xr:uid="{00000000-0005-0000-0000-00004D000000}"/>
    <cellStyle name="20% - 강조색4 4" xfId="80" xr:uid="{00000000-0005-0000-0000-00004E000000}"/>
    <cellStyle name="20% - 강조색4 5" xfId="81" xr:uid="{00000000-0005-0000-0000-00004F000000}"/>
    <cellStyle name="20% - 강조색4 6" xfId="82" xr:uid="{00000000-0005-0000-0000-000050000000}"/>
    <cellStyle name="20% - 강조색4 7" xfId="83" xr:uid="{00000000-0005-0000-0000-000051000000}"/>
    <cellStyle name="20% - 강조색4 7 2" xfId="84" xr:uid="{00000000-0005-0000-0000-000052000000}"/>
    <cellStyle name="20% - 강조색4 7 3" xfId="85" xr:uid="{00000000-0005-0000-0000-000053000000}"/>
    <cellStyle name="20% - 강조색5 2" xfId="86" xr:uid="{00000000-0005-0000-0000-000054000000}"/>
    <cellStyle name="20% - 강조색5 2 2" xfId="87" xr:uid="{00000000-0005-0000-0000-000055000000}"/>
    <cellStyle name="20% - 강조색5 2 3" xfId="88" xr:uid="{00000000-0005-0000-0000-000056000000}"/>
    <cellStyle name="20% - 강조색5 2 3 2" xfId="89" xr:uid="{00000000-0005-0000-0000-000057000000}"/>
    <cellStyle name="20% - 강조색5 2 3 3" xfId="90" xr:uid="{00000000-0005-0000-0000-000058000000}"/>
    <cellStyle name="20% - 강조색5 3" xfId="91" xr:uid="{00000000-0005-0000-0000-000059000000}"/>
    <cellStyle name="20% - 강조색5 4" xfId="92" xr:uid="{00000000-0005-0000-0000-00005A000000}"/>
    <cellStyle name="20% - 강조색5 5" xfId="93" xr:uid="{00000000-0005-0000-0000-00005B000000}"/>
    <cellStyle name="20% - 강조색5 6" xfId="94" xr:uid="{00000000-0005-0000-0000-00005C000000}"/>
    <cellStyle name="20% - 강조색5 7" xfId="95" xr:uid="{00000000-0005-0000-0000-00005D000000}"/>
    <cellStyle name="20% - 강조색5 7 2" xfId="96" xr:uid="{00000000-0005-0000-0000-00005E000000}"/>
    <cellStyle name="20% - 강조색5 7 3" xfId="97" xr:uid="{00000000-0005-0000-0000-00005F000000}"/>
    <cellStyle name="20% - 강조색6 2" xfId="98" xr:uid="{00000000-0005-0000-0000-000060000000}"/>
    <cellStyle name="20% - 강조색6 2 2" xfId="99" xr:uid="{00000000-0005-0000-0000-000061000000}"/>
    <cellStyle name="20% - 강조색6 2 3" xfId="100" xr:uid="{00000000-0005-0000-0000-000062000000}"/>
    <cellStyle name="20% - 강조색6 2 3 2" xfId="101" xr:uid="{00000000-0005-0000-0000-000063000000}"/>
    <cellStyle name="20% - 강조색6 2 3 3" xfId="102" xr:uid="{00000000-0005-0000-0000-000064000000}"/>
    <cellStyle name="20% - 강조색6 3" xfId="103" xr:uid="{00000000-0005-0000-0000-000065000000}"/>
    <cellStyle name="20% - 강조색6 4" xfId="104" xr:uid="{00000000-0005-0000-0000-000066000000}"/>
    <cellStyle name="20% - 강조색6 5" xfId="105" xr:uid="{00000000-0005-0000-0000-000067000000}"/>
    <cellStyle name="20% - 강조색6 6" xfId="106" xr:uid="{00000000-0005-0000-0000-000068000000}"/>
    <cellStyle name="20% - 강조색6 7" xfId="107" xr:uid="{00000000-0005-0000-0000-000069000000}"/>
    <cellStyle name="20% - 강조색6 7 2" xfId="108" xr:uid="{00000000-0005-0000-0000-00006A000000}"/>
    <cellStyle name="20% - 강조색6 7 3" xfId="109" xr:uid="{00000000-0005-0000-0000-00006B000000}"/>
    <cellStyle name="_x0004_3;_x0018_" xfId="110" xr:uid="{00000000-0005-0000-0000-00006C000000}"/>
    <cellStyle name="40% - 강조색1 2" xfId="111" xr:uid="{00000000-0005-0000-0000-00006D000000}"/>
    <cellStyle name="40% - 강조색1 2 2" xfId="112" xr:uid="{00000000-0005-0000-0000-00006E000000}"/>
    <cellStyle name="40% - 강조색1 2 3" xfId="113" xr:uid="{00000000-0005-0000-0000-00006F000000}"/>
    <cellStyle name="40% - 강조색1 2 3 2" xfId="114" xr:uid="{00000000-0005-0000-0000-000070000000}"/>
    <cellStyle name="40% - 강조색1 2 3 3" xfId="115" xr:uid="{00000000-0005-0000-0000-000071000000}"/>
    <cellStyle name="40% - 강조색1 3" xfId="116" xr:uid="{00000000-0005-0000-0000-000072000000}"/>
    <cellStyle name="40% - 강조색1 4" xfId="117" xr:uid="{00000000-0005-0000-0000-000073000000}"/>
    <cellStyle name="40% - 강조색1 5" xfId="118" xr:uid="{00000000-0005-0000-0000-000074000000}"/>
    <cellStyle name="40% - 강조색1 6" xfId="119" xr:uid="{00000000-0005-0000-0000-000075000000}"/>
    <cellStyle name="40% - 강조색1 7" xfId="120" xr:uid="{00000000-0005-0000-0000-000076000000}"/>
    <cellStyle name="40% - 강조색1 7 2" xfId="121" xr:uid="{00000000-0005-0000-0000-000077000000}"/>
    <cellStyle name="40% - 강조색1 7 3" xfId="122" xr:uid="{00000000-0005-0000-0000-000078000000}"/>
    <cellStyle name="40% - 강조색2 2" xfId="123" xr:uid="{00000000-0005-0000-0000-000079000000}"/>
    <cellStyle name="40% - 강조색2 2 2" xfId="124" xr:uid="{00000000-0005-0000-0000-00007A000000}"/>
    <cellStyle name="40% - 강조색2 2 3" xfId="125" xr:uid="{00000000-0005-0000-0000-00007B000000}"/>
    <cellStyle name="40% - 강조색2 2 3 2" xfId="126" xr:uid="{00000000-0005-0000-0000-00007C000000}"/>
    <cellStyle name="40% - 강조색2 2 3 3" xfId="127" xr:uid="{00000000-0005-0000-0000-00007D000000}"/>
    <cellStyle name="40% - 강조색2 3" xfId="128" xr:uid="{00000000-0005-0000-0000-00007E000000}"/>
    <cellStyle name="40% - 강조색2 4" xfId="129" xr:uid="{00000000-0005-0000-0000-00007F000000}"/>
    <cellStyle name="40% - 강조색2 5" xfId="130" xr:uid="{00000000-0005-0000-0000-000080000000}"/>
    <cellStyle name="40% - 강조색2 6" xfId="131" xr:uid="{00000000-0005-0000-0000-000081000000}"/>
    <cellStyle name="40% - 강조색2 7" xfId="132" xr:uid="{00000000-0005-0000-0000-000082000000}"/>
    <cellStyle name="40% - 강조색2 7 2" xfId="133" xr:uid="{00000000-0005-0000-0000-000083000000}"/>
    <cellStyle name="40% - 강조색2 7 3" xfId="134" xr:uid="{00000000-0005-0000-0000-000084000000}"/>
    <cellStyle name="40% - 강조색3 2" xfId="135" xr:uid="{00000000-0005-0000-0000-000085000000}"/>
    <cellStyle name="40% - 강조색3 2 2" xfId="136" xr:uid="{00000000-0005-0000-0000-000086000000}"/>
    <cellStyle name="40% - 강조색3 2 3" xfId="137" xr:uid="{00000000-0005-0000-0000-000087000000}"/>
    <cellStyle name="40% - 강조색3 2 3 2" xfId="138" xr:uid="{00000000-0005-0000-0000-000088000000}"/>
    <cellStyle name="40% - 강조색3 2 3 3" xfId="139" xr:uid="{00000000-0005-0000-0000-000089000000}"/>
    <cellStyle name="40% - 강조색3 3" xfId="140" xr:uid="{00000000-0005-0000-0000-00008A000000}"/>
    <cellStyle name="40% - 강조색3 4" xfId="141" xr:uid="{00000000-0005-0000-0000-00008B000000}"/>
    <cellStyle name="40% - 강조색3 5" xfId="142" xr:uid="{00000000-0005-0000-0000-00008C000000}"/>
    <cellStyle name="40% - 강조색3 6" xfId="143" xr:uid="{00000000-0005-0000-0000-00008D000000}"/>
    <cellStyle name="40% - 강조색3 7" xfId="144" xr:uid="{00000000-0005-0000-0000-00008E000000}"/>
    <cellStyle name="40% - 강조색3 7 2" xfId="145" xr:uid="{00000000-0005-0000-0000-00008F000000}"/>
    <cellStyle name="40% - 강조색3 7 3" xfId="146" xr:uid="{00000000-0005-0000-0000-000090000000}"/>
    <cellStyle name="40% - 강조색4 2" xfId="147" xr:uid="{00000000-0005-0000-0000-000091000000}"/>
    <cellStyle name="40% - 강조색4 2 2" xfId="148" xr:uid="{00000000-0005-0000-0000-000092000000}"/>
    <cellStyle name="40% - 강조색4 2 3" xfId="149" xr:uid="{00000000-0005-0000-0000-000093000000}"/>
    <cellStyle name="40% - 강조색4 2 3 2" xfId="150" xr:uid="{00000000-0005-0000-0000-000094000000}"/>
    <cellStyle name="40% - 강조색4 2 3 3" xfId="151" xr:uid="{00000000-0005-0000-0000-000095000000}"/>
    <cellStyle name="40% - 강조색4 3" xfId="152" xr:uid="{00000000-0005-0000-0000-000096000000}"/>
    <cellStyle name="40% - 강조색4 4" xfId="153" xr:uid="{00000000-0005-0000-0000-000097000000}"/>
    <cellStyle name="40% - 강조색4 5" xfId="154" xr:uid="{00000000-0005-0000-0000-000098000000}"/>
    <cellStyle name="40% - 강조색4 6" xfId="155" xr:uid="{00000000-0005-0000-0000-000099000000}"/>
    <cellStyle name="40% - 강조색4 7" xfId="156" xr:uid="{00000000-0005-0000-0000-00009A000000}"/>
    <cellStyle name="40% - 강조색4 7 2" xfId="157" xr:uid="{00000000-0005-0000-0000-00009B000000}"/>
    <cellStyle name="40% - 강조색4 7 3" xfId="158" xr:uid="{00000000-0005-0000-0000-00009C000000}"/>
    <cellStyle name="40% - 강조색5 2" xfId="159" xr:uid="{00000000-0005-0000-0000-00009D000000}"/>
    <cellStyle name="40% - 강조색5 2 2" xfId="160" xr:uid="{00000000-0005-0000-0000-00009E000000}"/>
    <cellStyle name="40% - 강조색5 2 3" xfId="161" xr:uid="{00000000-0005-0000-0000-00009F000000}"/>
    <cellStyle name="40% - 강조색5 2 3 2" xfId="162" xr:uid="{00000000-0005-0000-0000-0000A0000000}"/>
    <cellStyle name="40% - 강조색5 2 3 3" xfId="163" xr:uid="{00000000-0005-0000-0000-0000A1000000}"/>
    <cellStyle name="40% - 강조색5 3" xfId="164" xr:uid="{00000000-0005-0000-0000-0000A2000000}"/>
    <cellStyle name="40% - 강조색5 4" xfId="165" xr:uid="{00000000-0005-0000-0000-0000A3000000}"/>
    <cellStyle name="40% - 강조색5 5" xfId="166" xr:uid="{00000000-0005-0000-0000-0000A4000000}"/>
    <cellStyle name="40% - 강조색5 6" xfId="167" xr:uid="{00000000-0005-0000-0000-0000A5000000}"/>
    <cellStyle name="40% - 강조색5 7" xfId="168" xr:uid="{00000000-0005-0000-0000-0000A6000000}"/>
    <cellStyle name="40% - 강조색5 7 2" xfId="169" xr:uid="{00000000-0005-0000-0000-0000A7000000}"/>
    <cellStyle name="40% - 강조색5 7 3" xfId="170" xr:uid="{00000000-0005-0000-0000-0000A8000000}"/>
    <cellStyle name="40% - 강조색6 2" xfId="171" xr:uid="{00000000-0005-0000-0000-0000A9000000}"/>
    <cellStyle name="40% - 강조색6 2 2" xfId="172" xr:uid="{00000000-0005-0000-0000-0000AA000000}"/>
    <cellStyle name="40% - 강조색6 2 3" xfId="173" xr:uid="{00000000-0005-0000-0000-0000AB000000}"/>
    <cellStyle name="40% - 강조색6 2 3 2" xfId="174" xr:uid="{00000000-0005-0000-0000-0000AC000000}"/>
    <cellStyle name="40% - 강조색6 2 3 3" xfId="175" xr:uid="{00000000-0005-0000-0000-0000AD000000}"/>
    <cellStyle name="40% - 강조색6 3" xfId="176" xr:uid="{00000000-0005-0000-0000-0000AE000000}"/>
    <cellStyle name="40% - 강조색6 4" xfId="177" xr:uid="{00000000-0005-0000-0000-0000AF000000}"/>
    <cellStyle name="40% - 강조색6 5" xfId="178" xr:uid="{00000000-0005-0000-0000-0000B0000000}"/>
    <cellStyle name="40% - 강조색6 6" xfId="179" xr:uid="{00000000-0005-0000-0000-0000B1000000}"/>
    <cellStyle name="40% - 강조색6 7" xfId="180" xr:uid="{00000000-0005-0000-0000-0000B2000000}"/>
    <cellStyle name="40% - 강조색6 7 2" xfId="181" xr:uid="{00000000-0005-0000-0000-0000B3000000}"/>
    <cellStyle name="40% - 강조색6 7 3" xfId="182" xr:uid="{00000000-0005-0000-0000-0000B4000000}"/>
    <cellStyle name="60% - 강조색1 2" xfId="183" xr:uid="{00000000-0005-0000-0000-0000B5000000}"/>
    <cellStyle name="60% - 강조색1 3" xfId="184" xr:uid="{00000000-0005-0000-0000-0000B6000000}"/>
    <cellStyle name="60% - 강조색1 4" xfId="185" xr:uid="{00000000-0005-0000-0000-0000B7000000}"/>
    <cellStyle name="60% - 강조색1 5" xfId="186" xr:uid="{00000000-0005-0000-0000-0000B8000000}"/>
    <cellStyle name="60% - 강조색1 6" xfId="187" xr:uid="{00000000-0005-0000-0000-0000B9000000}"/>
    <cellStyle name="60% - 강조색2 2" xfId="188" xr:uid="{00000000-0005-0000-0000-0000BA000000}"/>
    <cellStyle name="60% - 강조색2 3" xfId="189" xr:uid="{00000000-0005-0000-0000-0000BB000000}"/>
    <cellStyle name="60% - 강조색2 4" xfId="190" xr:uid="{00000000-0005-0000-0000-0000BC000000}"/>
    <cellStyle name="60% - 강조색2 5" xfId="191" xr:uid="{00000000-0005-0000-0000-0000BD000000}"/>
    <cellStyle name="60% - 강조색2 6" xfId="192" xr:uid="{00000000-0005-0000-0000-0000BE000000}"/>
    <cellStyle name="60% - 강조색3 2" xfId="193" xr:uid="{00000000-0005-0000-0000-0000BF000000}"/>
    <cellStyle name="60% - 강조색3 3" xfId="194" xr:uid="{00000000-0005-0000-0000-0000C0000000}"/>
    <cellStyle name="60% - 강조색3 4" xfId="195" xr:uid="{00000000-0005-0000-0000-0000C1000000}"/>
    <cellStyle name="60% - 강조색3 5" xfId="196" xr:uid="{00000000-0005-0000-0000-0000C2000000}"/>
    <cellStyle name="60% - 강조색3 6" xfId="197" xr:uid="{00000000-0005-0000-0000-0000C3000000}"/>
    <cellStyle name="60% - 강조색4 2" xfId="198" xr:uid="{00000000-0005-0000-0000-0000C4000000}"/>
    <cellStyle name="60% - 강조색4 3" xfId="199" xr:uid="{00000000-0005-0000-0000-0000C5000000}"/>
    <cellStyle name="60% - 강조색4 4" xfId="200" xr:uid="{00000000-0005-0000-0000-0000C6000000}"/>
    <cellStyle name="60% - 강조색4 5" xfId="201" xr:uid="{00000000-0005-0000-0000-0000C7000000}"/>
    <cellStyle name="60% - 강조색4 6" xfId="202" xr:uid="{00000000-0005-0000-0000-0000C8000000}"/>
    <cellStyle name="60% - 강조색5 2" xfId="203" xr:uid="{00000000-0005-0000-0000-0000C9000000}"/>
    <cellStyle name="60% - 강조색5 3" xfId="204" xr:uid="{00000000-0005-0000-0000-0000CA000000}"/>
    <cellStyle name="60% - 강조색5 4" xfId="205" xr:uid="{00000000-0005-0000-0000-0000CB000000}"/>
    <cellStyle name="60% - 강조색5 5" xfId="206" xr:uid="{00000000-0005-0000-0000-0000CC000000}"/>
    <cellStyle name="60% - 강조색5 6" xfId="207" xr:uid="{00000000-0005-0000-0000-0000CD000000}"/>
    <cellStyle name="60% - 강조색6 2" xfId="208" xr:uid="{00000000-0005-0000-0000-0000CE000000}"/>
    <cellStyle name="60% - 강조색6 3" xfId="209" xr:uid="{00000000-0005-0000-0000-0000CF000000}"/>
    <cellStyle name="60% - 강조색6 4" xfId="210" xr:uid="{00000000-0005-0000-0000-0000D0000000}"/>
    <cellStyle name="60% - 강조색6 5" xfId="211" xr:uid="{00000000-0005-0000-0000-0000D1000000}"/>
    <cellStyle name="60% - 강조색6 6" xfId="212" xr:uid="{00000000-0005-0000-0000-0000D2000000}"/>
    <cellStyle name="A¨­￠￢￠O [0]_INQUIRY ￠?￥i¨u¡AAⓒ￢Aⓒª " xfId="213" xr:uid="{00000000-0005-0000-0000-0000D3000000}"/>
    <cellStyle name="A¨­￠￢￠O_INQUIRY ￠?￥i¨u¡AAⓒ￢Aⓒª " xfId="214" xr:uid="{00000000-0005-0000-0000-0000D4000000}"/>
    <cellStyle name="ÅëÈ­ [0]_INQUIRY ¿µ¾÷ÃßÁø " xfId="215" xr:uid="{00000000-0005-0000-0000-0000D5000000}"/>
    <cellStyle name="AeE­ [0]_INQUIRY ¿μ¾÷AßAø " xfId="216" xr:uid="{00000000-0005-0000-0000-0000D6000000}"/>
    <cellStyle name="ÅëÈ­_INQUIRY ¿µ¾÷ÃßÁø " xfId="217" xr:uid="{00000000-0005-0000-0000-0000D7000000}"/>
    <cellStyle name="AeE­_INQUIRY ¿μ¾÷AßAø " xfId="218" xr:uid="{00000000-0005-0000-0000-0000D8000000}"/>
    <cellStyle name="AeE¡ⓒ [0]_INQUIRY ￠?￥i¨u¡AAⓒ￢Aⓒª " xfId="219" xr:uid="{00000000-0005-0000-0000-0000D9000000}"/>
    <cellStyle name="AeE¡ⓒ_INQUIRY ￠?￥i¨u¡AAⓒ￢Aⓒª " xfId="220" xr:uid="{00000000-0005-0000-0000-0000DA000000}"/>
    <cellStyle name="ÄÞ¸¶ [0]_INQUIRY ¿µ¾÷ÃßÁø " xfId="221" xr:uid="{00000000-0005-0000-0000-0000DB000000}"/>
    <cellStyle name="AÞ¸¶ [0]_INQUIRY ¿μ¾÷AßAø " xfId="222" xr:uid="{00000000-0005-0000-0000-0000DC000000}"/>
    <cellStyle name="ÄÞ¸¶_INQUIRY ¿µ¾÷ÃßÁø " xfId="223" xr:uid="{00000000-0005-0000-0000-0000DD000000}"/>
    <cellStyle name="AÞ¸¶_INQUIRY ¿μ¾÷AßAø " xfId="224" xr:uid="{00000000-0005-0000-0000-0000DE000000}"/>
    <cellStyle name="_x0001_b" xfId="225" xr:uid="{00000000-0005-0000-0000-0000DF000000}"/>
    <cellStyle name="C¡IA¨ª_¡ic¨u¡A¨￢I¨￢¡Æ AN¡Æe " xfId="226" xr:uid="{00000000-0005-0000-0000-0000E0000000}"/>
    <cellStyle name="Ç¥ÁØ_¿µ¾÷ÇöÈ² " xfId="227" xr:uid="{00000000-0005-0000-0000-0000E1000000}"/>
    <cellStyle name="C￥AØ_¿μ¾÷CoE² " xfId="228" xr:uid="{00000000-0005-0000-0000-0000E2000000}"/>
    <cellStyle name="Ç¥ÁØ_»ç¾÷ºÎº° ÃÑ°è " xfId="229" xr:uid="{00000000-0005-0000-0000-0000E3000000}"/>
    <cellStyle name="C￥AØ_≫c¾÷ºIº° AN°e " xfId="230" xr:uid="{00000000-0005-0000-0000-0000E4000000}"/>
    <cellStyle name="Ç¥ÁØ_0N-HANDLING " xfId="231" xr:uid="{00000000-0005-0000-0000-0000E5000000}"/>
    <cellStyle name="C￥AØ_5-1±¤°i " xfId="232" xr:uid="{00000000-0005-0000-0000-0000E6000000}"/>
    <cellStyle name="Ç¥ÁØ_5-1±¤°í " xfId="233" xr:uid="{00000000-0005-0000-0000-0000E7000000}"/>
    <cellStyle name="C￥AØ_AI¿øCoE² " xfId="234" xr:uid="{00000000-0005-0000-0000-0000E8000000}"/>
    <cellStyle name="Ç¥ÁØ_Áý°èÇ¥(2¿ù) " xfId="235" xr:uid="{00000000-0005-0000-0000-0000E9000000}"/>
    <cellStyle name="C￥AØ_CoAo¹yAI °A¾×¿ⓒ½A " xfId="236" xr:uid="{00000000-0005-0000-0000-0000EA000000}"/>
    <cellStyle name="Ç¥ÁØ_Sheet1_¿µ¾÷ÇöÈ² " xfId="237" xr:uid="{00000000-0005-0000-0000-0000EB000000}"/>
    <cellStyle name="Calc Currency (0)" xfId="238" xr:uid="{00000000-0005-0000-0000-0000EC000000}"/>
    <cellStyle name="category" xfId="239" xr:uid="{00000000-0005-0000-0000-0000ED000000}"/>
    <cellStyle name="Comma" xfId="240" xr:uid="{00000000-0005-0000-0000-0000EE000000}"/>
    <cellStyle name="Comma [0]" xfId="241" xr:uid="{00000000-0005-0000-0000-0000EF000000}"/>
    <cellStyle name="Comma_ SG&amp;A Bridge " xfId="242" xr:uid="{00000000-0005-0000-0000-0000F0000000}"/>
    <cellStyle name="Currency" xfId="243" xr:uid="{00000000-0005-0000-0000-0000F1000000}"/>
    <cellStyle name="Currency [0]" xfId="244" xr:uid="{00000000-0005-0000-0000-0000F2000000}"/>
    <cellStyle name="Currency_ SG&amp;A Bridge " xfId="245" xr:uid="{00000000-0005-0000-0000-0000F3000000}"/>
    <cellStyle name="Currency1" xfId="246" xr:uid="{00000000-0005-0000-0000-0000F4000000}"/>
    <cellStyle name="Date" xfId="247" xr:uid="{00000000-0005-0000-0000-0000F5000000}"/>
    <cellStyle name="Fixed" xfId="248" xr:uid="{00000000-0005-0000-0000-0000F6000000}"/>
    <cellStyle name="Followed Hyperlink" xfId="249" xr:uid="{00000000-0005-0000-0000-0000F7000000}"/>
    <cellStyle name="Grey" xfId="250" xr:uid="{00000000-0005-0000-0000-0000F8000000}"/>
    <cellStyle name="HEADER" xfId="251" xr:uid="{00000000-0005-0000-0000-0000F9000000}"/>
    <cellStyle name="Header1" xfId="252" xr:uid="{00000000-0005-0000-0000-0000FA000000}"/>
    <cellStyle name="Header2" xfId="253" xr:uid="{00000000-0005-0000-0000-0000FB000000}"/>
    <cellStyle name="Heading" xfId="254" xr:uid="{00000000-0005-0000-0000-0000FC000000}"/>
    <cellStyle name="Heading1" xfId="255" xr:uid="{00000000-0005-0000-0000-0000FD000000}"/>
    <cellStyle name="Heading2" xfId="256" xr:uid="{00000000-0005-0000-0000-0000FE000000}"/>
    <cellStyle name="Hyperlink" xfId="257" xr:uid="{00000000-0005-0000-0000-0000FF000000}"/>
    <cellStyle name="Input [yellow]" xfId="258" xr:uid="{00000000-0005-0000-0000-000000010000}"/>
    <cellStyle name="Model" xfId="259" xr:uid="{00000000-0005-0000-0000-000001010000}"/>
    <cellStyle name="My-수량" xfId="260" xr:uid="{00000000-0005-0000-0000-000002010000}"/>
    <cellStyle name="Normal - Style1" xfId="261" xr:uid="{00000000-0005-0000-0000-000003010000}"/>
    <cellStyle name="Normal_ SG&amp;A Bridge " xfId="262" xr:uid="{00000000-0005-0000-0000-000004010000}"/>
    <cellStyle name="Percent" xfId="263" xr:uid="{00000000-0005-0000-0000-000005010000}"/>
    <cellStyle name="Percent [2]" xfId="264" xr:uid="{00000000-0005-0000-0000-000006010000}"/>
    <cellStyle name="qbh_x0003__x000c_bh_x0017_&quot;blTT０_x0008__x0003__x0008_?)(일)" xfId="265" xr:uid="{00000000-0005-0000-0000-000007010000}"/>
    <cellStyle name="qbh_x0003__x000c_bh_x0017_&quot;blTT０_x0008__x0003__x0008_磚)(일)" xfId="266" xr:uid="{00000000-0005-0000-0000-000008010000}"/>
    <cellStyle name="Ra" xfId="267" xr:uid="{00000000-0005-0000-0000-000009010000}"/>
    <cellStyle name="subhead" xfId="268" xr:uid="{00000000-0005-0000-0000-00000A010000}"/>
    <cellStyle name="T０_x0008__x0003__x0008_?)(일)" xfId="269" xr:uid="{00000000-0005-0000-0000-00000B010000}"/>
    <cellStyle name="T０_x0008__x0003__x0008_磚)(일)" xfId="270" xr:uid="{00000000-0005-0000-0000-00000C010000}"/>
    <cellStyle name="Total" xfId="271" xr:uid="{00000000-0005-0000-0000-00000D010000}"/>
    <cellStyle name="강조색1 2" xfId="272" xr:uid="{00000000-0005-0000-0000-00000E010000}"/>
    <cellStyle name="강조색1 3" xfId="273" xr:uid="{00000000-0005-0000-0000-00000F010000}"/>
    <cellStyle name="강조색1 4" xfId="274" xr:uid="{00000000-0005-0000-0000-000010010000}"/>
    <cellStyle name="강조색1 5" xfId="275" xr:uid="{00000000-0005-0000-0000-000011010000}"/>
    <cellStyle name="강조색1 6" xfId="276" xr:uid="{00000000-0005-0000-0000-000012010000}"/>
    <cellStyle name="강조색2 2" xfId="277" xr:uid="{00000000-0005-0000-0000-000013010000}"/>
    <cellStyle name="강조색2 3" xfId="278" xr:uid="{00000000-0005-0000-0000-000014010000}"/>
    <cellStyle name="강조색2 4" xfId="279" xr:uid="{00000000-0005-0000-0000-000015010000}"/>
    <cellStyle name="강조색2 5" xfId="280" xr:uid="{00000000-0005-0000-0000-000016010000}"/>
    <cellStyle name="강조색2 6" xfId="281" xr:uid="{00000000-0005-0000-0000-000017010000}"/>
    <cellStyle name="강조색3 2" xfId="282" xr:uid="{00000000-0005-0000-0000-000018010000}"/>
    <cellStyle name="강조색3 3" xfId="283" xr:uid="{00000000-0005-0000-0000-000019010000}"/>
    <cellStyle name="강조색3 4" xfId="284" xr:uid="{00000000-0005-0000-0000-00001A010000}"/>
    <cellStyle name="강조색3 5" xfId="285" xr:uid="{00000000-0005-0000-0000-00001B010000}"/>
    <cellStyle name="강조색3 6" xfId="286" xr:uid="{00000000-0005-0000-0000-00001C010000}"/>
    <cellStyle name="강조색4 2" xfId="287" xr:uid="{00000000-0005-0000-0000-00001D010000}"/>
    <cellStyle name="강조색4 3" xfId="288" xr:uid="{00000000-0005-0000-0000-00001E010000}"/>
    <cellStyle name="강조색4 4" xfId="289" xr:uid="{00000000-0005-0000-0000-00001F010000}"/>
    <cellStyle name="강조색4 5" xfId="290" xr:uid="{00000000-0005-0000-0000-000020010000}"/>
    <cellStyle name="강조색4 6" xfId="291" xr:uid="{00000000-0005-0000-0000-000021010000}"/>
    <cellStyle name="강조색5 2" xfId="292" xr:uid="{00000000-0005-0000-0000-000022010000}"/>
    <cellStyle name="강조색5 3" xfId="293" xr:uid="{00000000-0005-0000-0000-000023010000}"/>
    <cellStyle name="강조색5 4" xfId="294" xr:uid="{00000000-0005-0000-0000-000024010000}"/>
    <cellStyle name="강조색5 5" xfId="295" xr:uid="{00000000-0005-0000-0000-000025010000}"/>
    <cellStyle name="강조색5 6" xfId="296" xr:uid="{00000000-0005-0000-0000-000026010000}"/>
    <cellStyle name="강조색6 2" xfId="297" xr:uid="{00000000-0005-0000-0000-000027010000}"/>
    <cellStyle name="강조색6 3" xfId="298" xr:uid="{00000000-0005-0000-0000-000028010000}"/>
    <cellStyle name="강조색6 4" xfId="299" xr:uid="{00000000-0005-0000-0000-000029010000}"/>
    <cellStyle name="강조색6 5" xfId="300" xr:uid="{00000000-0005-0000-0000-00002A010000}"/>
    <cellStyle name="강조색6 6" xfId="301" xr:uid="{00000000-0005-0000-0000-00002B010000}"/>
    <cellStyle name="경고문 2" xfId="302" xr:uid="{00000000-0005-0000-0000-00002C010000}"/>
    <cellStyle name="경고문 3" xfId="303" xr:uid="{00000000-0005-0000-0000-00002D010000}"/>
    <cellStyle name="경고문 4" xfId="304" xr:uid="{00000000-0005-0000-0000-00002E010000}"/>
    <cellStyle name="경고문 5" xfId="305" xr:uid="{00000000-0005-0000-0000-00002F010000}"/>
    <cellStyle name="경고문 6" xfId="306" xr:uid="{00000000-0005-0000-0000-000030010000}"/>
    <cellStyle name="계산 2" xfId="307" xr:uid="{00000000-0005-0000-0000-000031010000}"/>
    <cellStyle name="계산 3" xfId="308" xr:uid="{00000000-0005-0000-0000-000032010000}"/>
    <cellStyle name="계산 4" xfId="309" xr:uid="{00000000-0005-0000-0000-000033010000}"/>
    <cellStyle name="계산 5" xfId="310" xr:uid="{00000000-0005-0000-0000-000034010000}"/>
    <cellStyle name="계산 6" xfId="311" xr:uid="{00000000-0005-0000-0000-000035010000}"/>
    <cellStyle name="계정과목" xfId="312" xr:uid="{00000000-0005-0000-0000-000036010000}"/>
    <cellStyle name="괄호금액" xfId="313" xr:uid="{00000000-0005-0000-0000-000037010000}"/>
    <cellStyle name="나쁨 2" xfId="314" xr:uid="{00000000-0005-0000-0000-000038010000}"/>
    <cellStyle name="나쁨 3" xfId="315" xr:uid="{00000000-0005-0000-0000-000039010000}"/>
    <cellStyle name="나쁨 4" xfId="316" xr:uid="{00000000-0005-0000-0000-00003A010000}"/>
    <cellStyle name="나쁨 5" xfId="317" xr:uid="{00000000-0005-0000-0000-00003B010000}"/>
    <cellStyle name="나쁨 6" xfId="318" xr:uid="{00000000-0005-0000-0000-00003C010000}"/>
    <cellStyle name="나열번호" xfId="319" xr:uid="{00000000-0005-0000-0000-00003D010000}"/>
    <cellStyle name="뒤에 오는 하이퍼링크_건설중인자산증감" xfId="320" xr:uid="{00000000-0005-0000-0000-00003E010000}"/>
    <cellStyle name="똿뗦먛귟 [0.00]_PRODUCT DETAIL Q1" xfId="321" xr:uid="{00000000-0005-0000-0000-00003F010000}"/>
    <cellStyle name="똿뗦먛귟_PRODUCT DETAIL Q1" xfId="322" xr:uid="{00000000-0005-0000-0000-000040010000}"/>
    <cellStyle name="메모 2" xfId="323" xr:uid="{00000000-0005-0000-0000-000041010000}"/>
    <cellStyle name="메모 2 2" xfId="324" xr:uid="{00000000-0005-0000-0000-000042010000}"/>
    <cellStyle name="메모 2 2 2" xfId="325" xr:uid="{00000000-0005-0000-0000-000043010000}"/>
    <cellStyle name="메모 2 2 3" xfId="326" xr:uid="{00000000-0005-0000-0000-000044010000}"/>
    <cellStyle name="메모 2 3" xfId="327" xr:uid="{00000000-0005-0000-0000-000045010000}"/>
    <cellStyle name="메모 2 4" xfId="328" xr:uid="{00000000-0005-0000-0000-000046010000}"/>
    <cellStyle name="메모 2 4 2" xfId="329" xr:uid="{00000000-0005-0000-0000-000047010000}"/>
    <cellStyle name="메모 2 4 3" xfId="330" xr:uid="{00000000-0005-0000-0000-000048010000}"/>
    <cellStyle name="메모 3" xfId="331" xr:uid="{00000000-0005-0000-0000-000049010000}"/>
    <cellStyle name="메모 3 2" xfId="332" xr:uid="{00000000-0005-0000-0000-00004A010000}"/>
    <cellStyle name="메모 3 3" xfId="333" xr:uid="{00000000-0005-0000-0000-00004B010000}"/>
    <cellStyle name="메모 3 4" xfId="334" xr:uid="{00000000-0005-0000-0000-00004C010000}"/>
    <cellStyle name="메모 4" xfId="335" xr:uid="{00000000-0005-0000-0000-00004D010000}"/>
    <cellStyle name="메모 4 2" xfId="336" xr:uid="{00000000-0005-0000-0000-00004E010000}"/>
    <cellStyle name="메모 5" xfId="337" xr:uid="{00000000-0005-0000-0000-00004F010000}"/>
    <cellStyle name="메모 5 2" xfId="338" xr:uid="{00000000-0005-0000-0000-000050010000}"/>
    <cellStyle name="메모 6" xfId="339" xr:uid="{00000000-0005-0000-0000-000051010000}"/>
    <cellStyle name="메모 7" xfId="340" xr:uid="{00000000-0005-0000-0000-000052010000}"/>
    <cellStyle name="메모 7 2" xfId="341" xr:uid="{00000000-0005-0000-0000-000053010000}"/>
    <cellStyle name="메모 7 3" xfId="342" xr:uid="{00000000-0005-0000-0000-000054010000}"/>
    <cellStyle name="믅됞 [0.00]_PRODUCT DETAIL Q1" xfId="343" xr:uid="{00000000-0005-0000-0000-000055010000}"/>
    <cellStyle name="믅됞_PRODUCT DETAIL Q1" xfId="344" xr:uid="{00000000-0005-0000-0000-000056010000}"/>
    <cellStyle name="백분율 10" xfId="345" xr:uid="{00000000-0005-0000-0000-000057010000}"/>
    <cellStyle name="백분율 11" xfId="346" xr:uid="{00000000-0005-0000-0000-000058010000}"/>
    <cellStyle name="백분율 11 2" xfId="347" xr:uid="{00000000-0005-0000-0000-000059010000}"/>
    <cellStyle name="백분율 12" xfId="348" xr:uid="{00000000-0005-0000-0000-00005A010000}"/>
    <cellStyle name="백분율 12 2" xfId="349" xr:uid="{00000000-0005-0000-0000-00005B010000}"/>
    <cellStyle name="백분율 12 2 2" xfId="350" xr:uid="{00000000-0005-0000-0000-00005C010000}"/>
    <cellStyle name="백분율 12 2 2 2" xfId="351" xr:uid="{00000000-0005-0000-0000-00005D010000}"/>
    <cellStyle name="백분율 12 2 2 2 2" xfId="352" xr:uid="{00000000-0005-0000-0000-00005E010000}"/>
    <cellStyle name="백분율 12 2 2 2 2 2" xfId="353" xr:uid="{00000000-0005-0000-0000-00005F010000}"/>
    <cellStyle name="백분율 12 2 2 2 2 2 2" xfId="354" xr:uid="{00000000-0005-0000-0000-000060010000}"/>
    <cellStyle name="백분율 13" xfId="355" xr:uid="{00000000-0005-0000-0000-000061010000}"/>
    <cellStyle name="백분율 13 2" xfId="356" xr:uid="{00000000-0005-0000-0000-000062010000}"/>
    <cellStyle name="백분율 14" xfId="357" xr:uid="{00000000-0005-0000-0000-000063010000}"/>
    <cellStyle name="백분율 15" xfId="358" xr:uid="{00000000-0005-0000-0000-000064010000}"/>
    <cellStyle name="백분율 16" xfId="359" xr:uid="{00000000-0005-0000-0000-000065010000}"/>
    <cellStyle name="백분율 17" xfId="360" xr:uid="{00000000-0005-0000-0000-000066010000}"/>
    <cellStyle name="백분율 17 2" xfId="361" xr:uid="{00000000-0005-0000-0000-000067010000}"/>
    <cellStyle name="백분율 18" xfId="362" xr:uid="{00000000-0005-0000-0000-000068010000}"/>
    <cellStyle name="백분율 18 2" xfId="363" xr:uid="{00000000-0005-0000-0000-000069010000}"/>
    <cellStyle name="백분율 19" xfId="364" xr:uid="{00000000-0005-0000-0000-00006A010000}"/>
    <cellStyle name="백분율 19 2" xfId="365" xr:uid="{00000000-0005-0000-0000-00006B010000}"/>
    <cellStyle name="백분율 2" xfId="366" xr:uid="{00000000-0005-0000-0000-00006C010000}"/>
    <cellStyle name="백분율 2 2" xfId="367" xr:uid="{00000000-0005-0000-0000-00006D010000}"/>
    <cellStyle name="백분율 2 2 10" xfId="368" xr:uid="{00000000-0005-0000-0000-00006E010000}"/>
    <cellStyle name="백분율 2 2 11" xfId="369" xr:uid="{00000000-0005-0000-0000-00006F010000}"/>
    <cellStyle name="백분율 2 2 12" xfId="370" xr:uid="{00000000-0005-0000-0000-000070010000}"/>
    <cellStyle name="백분율 2 2 12 2" xfId="371" xr:uid="{00000000-0005-0000-0000-000071010000}"/>
    <cellStyle name="백분율 2 2 12 2 2" xfId="372" xr:uid="{00000000-0005-0000-0000-000072010000}"/>
    <cellStyle name="백분율 2 2 12 2 2 2" xfId="373" xr:uid="{00000000-0005-0000-0000-000073010000}"/>
    <cellStyle name="백분율 2 2 12 2 2 2 2" xfId="374" xr:uid="{00000000-0005-0000-0000-000074010000}"/>
    <cellStyle name="백분율 2 2 12 2 2 2 2 2" xfId="375" xr:uid="{00000000-0005-0000-0000-000075010000}"/>
    <cellStyle name="백분율 2 2 12 2 2 2 2 2 2" xfId="376" xr:uid="{00000000-0005-0000-0000-000076010000}"/>
    <cellStyle name="백분율 2 2 13" xfId="377" xr:uid="{00000000-0005-0000-0000-000077010000}"/>
    <cellStyle name="백분율 2 2 14" xfId="378" xr:uid="{00000000-0005-0000-0000-000078010000}"/>
    <cellStyle name="백분율 2 2 15" xfId="379" xr:uid="{00000000-0005-0000-0000-000079010000}"/>
    <cellStyle name="백분율 2 2 16" xfId="380" xr:uid="{00000000-0005-0000-0000-00007A010000}"/>
    <cellStyle name="백분율 2 2 17" xfId="381" xr:uid="{00000000-0005-0000-0000-00007B010000}"/>
    <cellStyle name="백분율 2 2 17 2" xfId="382" xr:uid="{00000000-0005-0000-0000-00007C010000}"/>
    <cellStyle name="백분율 2 2 17 3" xfId="383" xr:uid="{00000000-0005-0000-0000-00007D010000}"/>
    <cellStyle name="백분율 2 2 2" xfId="384" xr:uid="{00000000-0005-0000-0000-00007E010000}"/>
    <cellStyle name="백분율 2 2 2 2" xfId="385" xr:uid="{00000000-0005-0000-0000-00007F010000}"/>
    <cellStyle name="백분율 2 2 3" xfId="386" xr:uid="{00000000-0005-0000-0000-000080010000}"/>
    <cellStyle name="백분율 2 2 4" xfId="387" xr:uid="{00000000-0005-0000-0000-000081010000}"/>
    <cellStyle name="백분율 2 2 4 2" xfId="388" xr:uid="{00000000-0005-0000-0000-000082010000}"/>
    <cellStyle name="백분율 2 2 4 2 2" xfId="389" xr:uid="{00000000-0005-0000-0000-000083010000}"/>
    <cellStyle name="백분율 2 2 4 2 2 2" xfId="390" xr:uid="{00000000-0005-0000-0000-000084010000}"/>
    <cellStyle name="백분율 2 2 5" xfId="391" xr:uid="{00000000-0005-0000-0000-000085010000}"/>
    <cellStyle name="백분율 2 2 6" xfId="392" xr:uid="{00000000-0005-0000-0000-000086010000}"/>
    <cellStyle name="백분율 2 2 6 2" xfId="393" xr:uid="{00000000-0005-0000-0000-000087010000}"/>
    <cellStyle name="백분율 2 2 7" xfId="394" xr:uid="{00000000-0005-0000-0000-000088010000}"/>
    <cellStyle name="백분율 2 2 7 2" xfId="395" xr:uid="{00000000-0005-0000-0000-000089010000}"/>
    <cellStyle name="백분율 2 2 7 2 2" xfId="396" xr:uid="{00000000-0005-0000-0000-00008A010000}"/>
    <cellStyle name="백분율 2 2 7 2 2 2" xfId="397" xr:uid="{00000000-0005-0000-0000-00008B010000}"/>
    <cellStyle name="백분율 2 2 7 2 2 2 2" xfId="398" xr:uid="{00000000-0005-0000-0000-00008C010000}"/>
    <cellStyle name="백분율 2 2 7 2 2 2 3" xfId="399" xr:uid="{00000000-0005-0000-0000-00008D010000}"/>
    <cellStyle name="백분율 2 2 7 2 2 2 3 2" xfId="400" xr:uid="{00000000-0005-0000-0000-00008E010000}"/>
    <cellStyle name="백분율 2 2 8" xfId="401" xr:uid="{00000000-0005-0000-0000-00008F010000}"/>
    <cellStyle name="백분율 2 2 9" xfId="402" xr:uid="{00000000-0005-0000-0000-000090010000}"/>
    <cellStyle name="백분율 2 3" xfId="403" xr:uid="{00000000-0005-0000-0000-000091010000}"/>
    <cellStyle name="백분율 2 3 2" xfId="404" xr:uid="{00000000-0005-0000-0000-000092010000}"/>
    <cellStyle name="백분율 2 4" xfId="405" xr:uid="{00000000-0005-0000-0000-000093010000}"/>
    <cellStyle name="백분율 2 4 2" xfId="406" xr:uid="{00000000-0005-0000-0000-000094010000}"/>
    <cellStyle name="백분율 2 4 3" xfId="407" xr:uid="{00000000-0005-0000-0000-000095010000}"/>
    <cellStyle name="백분율 20" xfId="408" xr:uid="{00000000-0005-0000-0000-000096010000}"/>
    <cellStyle name="백분율 20 2" xfId="409" xr:uid="{00000000-0005-0000-0000-000097010000}"/>
    <cellStyle name="백분율 21" xfId="410" xr:uid="{00000000-0005-0000-0000-000098010000}"/>
    <cellStyle name="백분율 21 2" xfId="411" xr:uid="{00000000-0005-0000-0000-000099010000}"/>
    <cellStyle name="백분율 22" xfId="412" xr:uid="{00000000-0005-0000-0000-00009A010000}"/>
    <cellStyle name="백분율 23" xfId="413" xr:uid="{00000000-0005-0000-0000-00009B010000}"/>
    <cellStyle name="백분율 24" xfId="414" xr:uid="{00000000-0005-0000-0000-00009C010000}"/>
    <cellStyle name="백분율 24 2" xfId="415" xr:uid="{00000000-0005-0000-0000-00009D010000}"/>
    <cellStyle name="백분율 24 3" xfId="416" xr:uid="{00000000-0005-0000-0000-00009E010000}"/>
    <cellStyle name="백분율 25" xfId="417" xr:uid="{00000000-0005-0000-0000-00009F010000}"/>
    <cellStyle name="백분율 3" xfId="418" xr:uid="{00000000-0005-0000-0000-0000A0010000}"/>
    <cellStyle name="백분율 3 2" xfId="419" xr:uid="{00000000-0005-0000-0000-0000A1010000}"/>
    <cellStyle name="백분율 3 2 2" xfId="420" xr:uid="{00000000-0005-0000-0000-0000A2010000}"/>
    <cellStyle name="백분율 3 3" xfId="421" xr:uid="{00000000-0005-0000-0000-0000A3010000}"/>
    <cellStyle name="백분율 3 4" xfId="422" xr:uid="{00000000-0005-0000-0000-0000A4010000}"/>
    <cellStyle name="백분율 4" xfId="423" xr:uid="{00000000-0005-0000-0000-0000A5010000}"/>
    <cellStyle name="백분율 5" xfId="424" xr:uid="{00000000-0005-0000-0000-0000A6010000}"/>
    <cellStyle name="백분율 6" xfId="425" xr:uid="{00000000-0005-0000-0000-0000A7010000}"/>
    <cellStyle name="백분율 7" xfId="426" xr:uid="{00000000-0005-0000-0000-0000A8010000}"/>
    <cellStyle name="백분율 8" xfId="427" xr:uid="{00000000-0005-0000-0000-0000A9010000}"/>
    <cellStyle name="백분율 9" xfId="428" xr:uid="{00000000-0005-0000-0000-0000AA010000}"/>
    <cellStyle name="보통 2" xfId="429" xr:uid="{00000000-0005-0000-0000-0000AB010000}"/>
    <cellStyle name="보통 3" xfId="430" xr:uid="{00000000-0005-0000-0000-0000AC010000}"/>
    <cellStyle name="보통 4" xfId="431" xr:uid="{00000000-0005-0000-0000-0000AD010000}"/>
    <cellStyle name="보통 5" xfId="432" xr:uid="{00000000-0005-0000-0000-0000AE010000}"/>
    <cellStyle name="보통 6" xfId="433" xr:uid="{00000000-0005-0000-0000-0000AF010000}"/>
    <cellStyle name="뷭?" xfId="434" xr:uid="{00000000-0005-0000-0000-0000B0010000}"/>
    <cellStyle name="설명 텍스트 2" xfId="435" xr:uid="{00000000-0005-0000-0000-0000B1010000}"/>
    <cellStyle name="설명 텍스트 3" xfId="436" xr:uid="{00000000-0005-0000-0000-0000B2010000}"/>
    <cellStyle name="설명 텍스트 4" xfId="437" xr:uid="{00000000-0005-0000-0000-0000B3010000}"/>
    <cellStyle name="설명 텍스트 5" xfId="438" xr:uid="{00000000-0005-0000-0000-0000B4010000}"/>
    <cellStyle name="설명 텍스트 6" xfId="439" xr:uid="{00000000-0005-0000-0000-0000B5010000}"/>
    <cellStyle name="셀 확인 2" xfId="440" xr:uid="{00000000-0005-0000-0000-0000B6010000}"/>
    <cellStyle name="셀 확인 3" xfId="441" xr:uid="{00000000-0005-0000-0000-0000B7010000}"/>
    <cellStyle name="셀 확인 4" xfId="442" xr:uid="{00000000-0005-0000-0000-0000B8010000}"/>
    <cellStyle name="셀 확인 5" xfId="443" xr:uid="{00000000-0005-0000-0000-0000B9010000}"/>
    <cellStyle name="셀 확인 6" xfId="444" xr:uid="{00000000-0005-0000-0000-0000BA010000}"/>
    <cellStyle name="쉼표 [0]" xfId="838" builtinId="6"/>
    <cellStyle name="쉼표 [0] 10" xfId="445" xr:uid="{00000000-0005-0000-0000-0000BC010000}"/>
    <cellStyle name="쉼표 [0] 11" xfId="446" xr:uid="{00000000-0005-0000-0000-0000BD010000}"/>
    <cellStyle name="쉼표 [0] 12" xfId="447" xr:uid="{00000000-0005-0000-0000-0000BE010000}"/>
    <cellStyle name="쉼표 [0] 12 2" xfId="448" xr:uid="{00000000-0005-0000-0000-0000BF010000}"/>
    <cellStyle name="쉼표 [0] 12 2 2" xfId="449" xr:uid="{00000000-0005-0000-0000-0000C0010000}"/>
    <cellStyle name="쉼표 [0] 12 2 2 2" xfId="450" xr:uid="{00000000-0005-0000-0000-0000C1010000}"/>
    <cellStyle name="쉼표 [0] 13" xfId="451" xr:uid="{00000000-0005-0000-0000-0000C2010000}"/>
    <cellStyle name="쉼표 [0] 14" xfId="452" xr:uid="{00000000-0005-0000-0000-0000C3010000}"/>
    <cellStyle name="쉼표 [0] 14 2" xfId="453" xr:uid="{00000000-0005-0000-0000-0000C4010000}"/>
    <cellStyle name="쉼표 [0] 14 3" xfId="454" xr:uid="{00000000-0005-0000-0000-0000C5010000}"/>
    <cellStyle name="쉼표 [0] 15" xfId="455" xr:uid="{00000000-0005-0000-0000-0000C6010000}"/>
    <cellStyle name="쉼표 [0] 16" xfId="456" xr:uid="{00000000-0005-0000-0000-0000C7010000}"/>
    <cellStyle name="쉼표 [0] 16 2" xfId="457" xr:uid="{00000000-0005-0000-0000-0000C8010000}"/>
    <cellStyle name="쉼표 [0] 16 2 2" xfId="458" xr:uid="{00000000-0005-0000-0000-0000C9010000}"/>
    <cellStyle name="쉼표 [0] 16 2 2 2" xfId="459" xr:uid="{00000000-0005-0000-0000-0000CA010000}"/>
    <cellStyle name="쉼표 [0] 16 2 2 2 2" xfId="460" xr:uid="{00000000-0005-0000-0000-0000CB010000}"/>
    <cellStyle name="쉼표 [0] 16 2 2 2 3" xfId="461" xr:uid="{00000000-0005-0000-0000-0000CC010000}"/>
    <cellStyle name="쉼표 [0] 16 2 2 2 3 2" xfId="462" xr:uid="{00000000-0005-0000-0000-0000CD010000}"/>
    <cellStyle name="쉼표 [0] 17" xfId="463" xr:uid="{00000000-0005-0000-0000-0000CE010000}"/>
    <cellStyle name="쉼표 [0] 18" xfId="464" xr:uid="{00000000-0005-0000-0000-0000CF010000}"/>
    <cellStyle name="쉼표 [0] 19" xfId="465" xr:uid="{00000000-0005-0000-0000-0000D0010000}"/>
    <cellStyle name="쉼표 [0] 2" xfId="466" xr:uid="{00000000-0005-0000-0000-0000D1010000}"/>
    <cellStyle name="쉼표 [0] 2 11" xfId="467" xr:uid="{00000000-0005-0000-0000-0000D2010000}"/>
    <cellStyle name="쉼표 [0] 2 2" xfId="468" xr:uid="{00000000-0005-0000-0000-0000D3010000}"/>
    <cellStyle name="쉼표 [0] 2 2 10" xfId="469" xr:uid="{00000000-0005-0000-0000-0000D4010000}"/>
    <cellStyle name="쉼표 [0] 2 2 11" xfId="470" xr:uid="{00000000-0005-0000-0000-0000D5010000}"/>
    <cellStyle name="쉼표 [0] 2 2 12" xfId="471" xr:uid="{00000000-0005-0000-0000-0000D6010000}"/>
    <cellStyle name="쉼표 [0] 2 2 12 2" xfId="472" xr:uid="{00000000-0005-0000-0000-0000D7010000}"/>
    <cellStyle name="쉼표 [0] 2 2 12 2 2" xfId="473" xr:uid="{00000000-0005-0000-0000-0000D8010000}"/>
    <cellStyle name="쉼표 [0] 2 2 12 2 2 2" xfId="474" xr:uid="{00000000-0005-0000-0000-0000D9010000}"/>
    <cellStyle name="쉼표 [0] 2 2 12 2 2 2 2" xfId="475" xr:uid="{00000000-0005-0000-0000-0000DA010000}"/>
    <cellStyle name="쉼표 [0] 2 2 12 2 2 2 2 2" xfId="476" xr:uid="{00000000-0005-0000-0000-0000DB010000}"/>
    <cellStyle name="쉼표 [0] 2 2 12 2 2 2 2 2 2" xfId="477" xr:uid="{00000000-0005-0000-0000-0000DC010000}"/>
    <cellStyle name="쉼표 [0] 2 2 13" xfId="478" xr:uid="{00000000-0005-0000-0000-0000DD010000}"/>
    <cellStyle name="쉼표 [0] 2 2 14" xfId="479" xr:uid="{00000000-0005-0000-0000-0000DE010000}"/>
    <cellStyle name="쉼표 [0] 2 2 15" xfId="480" xr:uid="{00000000-0005-0000-0000-0000DF010000}"/>
    <cellStyle name="쉼표 [0] 2 2 16" xfId="481" xr:uid="{00000000-0005-0000-0000-0000E0010000}"/>
    <cellStyle name="쉼표 [0] 2 2 16 2" xfId="482" xr:uid="{00000000-0005-0000-0000-0000E1010000}"/>
    <cellStyle name="쉼표 [0] 2 2 16 3" xfId="483" xr:uid="{00000000-0005-0000-0000-0000E2010000}"/>
    <cellStyle name="쉼표 [0] 2 2 2" xfId="484" xr:uid="{00000000-0005-0000-0000-0000E3010000}"/>
    <cellStyle name="쉼표 [0] 2 2 3" xfId="485" xr:uid="{00000000-0005-0000-0000-0000E4010000}"/>
    <cellStyle name="쉼표 [0] 2 2 4" xfId="486" xr:uid="{00000000-0005-0000-0000-0000E5010000}"/>
    <cellStyle name="쉼표 [0] 2 2 4 2" xfId="487" xr:uid="{00000000-0005-0000-0000-0000E6010000}"/>
    <cellStyle name="쉼표 [0] 2 2 4 2 2" xfId="488" xr:uid="{00000000-0005-0000-0000-0000E7010000}"/>
    <cellStyle name="쉼표 [0] 2 2 4 2 2 2" xfId="489" xr:uid="{00000000-0005-0000-0000-0000E8010000}"/>
    <cellStyle name="쉼표 [0] 2 2 5" xfId="490" xr:uid="{00000000-0005-0000-0000-0000E9010000}"/>
    <cellStyle name="쉼표 [0] 2 2 6" xfId="491" xr:uid="{00000000-0005-0000-0000-0000EA010000}"/>
    <cellStyle name="쉼표 [0] 2 2 6 2" xfId="492" xr:uid="{00000000-0005-0000-0000-0000EB010000}"/>
    <cellStyle name="쉼표 [0] 2 2 6 3" xfId="493" xr:uid="{00000000-0005-0000-0000-0000EC010000}"/>
    <cellStyle name="쉼표 [0] 2 2 7" xfId="494" xr:uid="{00000000-0005-0000-0000-0000ED010000}"/>
    <cellStyle name="쉼표 [0] 2 2 7 2" xfId="495" xr:uid="{00000000-0005-0000-0000-0000EE010000}"/>
    <cellStyle name="쉼표 [0] 2 2 7 2 2" xfId="496" xr:uid="{00000000-0005-0000-0000-0000EF010000}"/>
    <cellStyle name="쉼표 [0] 2 2 7 2 2 2" xfId="497" xr:uid="{00000000-0005-0000-0000-0000F0010000}"/>
    <cellStyle name="쉼표 [0] 2 2 7 2 2 2 2" xfId="498" xr:uid="{00000000-0005-0000-0000-0000F1010000}"/>
    <cellStyle name="쉼표 [0] 2 2 7 2 2 2 3" xfId="499" xr:uid="{00000000-0005-0000-0000-0000F2010000}"/>
    <cellStyle name="쉼표 [0] 2 2 7 2 2 2 3 2" xfId="500" xr:uid="{00000000-0005-0000-0000-0000F3010000}"/>
    <cellStyle name="쉼표 [0] 2 2 8" xfId="501" xr:uid="{00000000-0005-0000-0000-0000F4010000}"/>
    <cellStyle name="쉼표 [0] 2 2 9" xfId="502" xr:uid="{00000000-0005-0000-0000-0000F5010000}"/>
    <cellStyle name="쉼표 [0] 2 3" xfId="503" xr:uid="{00000000-0005-0000-0000-0000F6010000}"/>
    <cellStyle name="쉼표 [0] 2 3 2" xfId="504" xr:uid="{00000000-0005-0000-0000-0000F7010000}"/>
    <cellStyle name="쉼표 [0] 2 4" xfId="505" xr:uid="{00000000-0005-0000-0000-0000F8010000}"/>
    <cellStyle name="쉼표 [0] 2 5" xfId="506" xr:uid="{00000000-0005-0000-0000-0000F9010000}"/>
    <cellStyle name="쉼표 [0] 2 5 2" xfId="507" xr:uid="{00000000-0005-0000-0000-0000FA010000}"/>
    <cellStyle name="쉼표 [0] 2 5 3" xfId="508" xr:uid="{00000000-0005-0000-0000-0000FB010000}"/>
    <cellStyle name="쉼표 [0] 20" xfId="509" xr:uid="{00000000-0005-0000-0000-0000FC010000}"/>
    <cellStyle name="쉼표 [0] 21" xfId="510" xr:uid="{00000000-0005-0000-0000-0000FD010000}"/>
    <cellStyle name="쉼표 [0] 22" xfId="511" xr:uid="{00000000-0005-0000-0000-0000FE010000}"/>
    <cellStyle name="쉼표 [0] 22 2" xfId="512" xr:uid="{00000000-0005-0000-0000-0000FF010000}"/>
    <cellStyle name="쉼표 [0] 23" xfId="513" xr:uid="{00000000-0005-0000-0000-000000020000}"/>
    <cellStyle name="쉼표 [0] 24" xfId="514" xr:uid="{00000000-0005-0000-0000-000001020000}"/>
    <cellStyle name="쉼표 [0] 25" xfId="515" xr:uid="{00000000-0005-0000-0000-000002020000}"/>
    <cellStyle name="쉼표 [0] 26" xfId="516" xr:uid="{00000000-0005-0000-0000-000003020000}"/>
    <cellStyle name="쉼표 [0] 26 2" xfId="517" xr:uid="{00000000-0005-0000-0000-000004020000}"/>
    <cellStyle name="쉼표 [0] 26 3" xfId="518" xr:uid="{00000000-0005-0000-0000-000005020000}"/>
    <cellStyle name="쉼표 [0] 26 4" xfId="519" xr:uid="{00000000-0005-0000-0000-000006020000}"/>
    <cellStyle name="쉼표 [0] 27" xfId="520" xr:uid="{00000000-0005-0000-0000-000007020000}"/>
    <cellStyle name="쉼표 [0] 27 2" xfId="521" xr:uid="{00000000-0005-0000-0000-000008020000}"/>
    <cellStyle name="쉼표 [0] 28" xfId="522" xr:uid="{00000000-0005-0000-0000-000009020000}"/>
    <cellStyle name="쉼표 [0] 28 2" xfId="523" xr:uid="{00000000-0005-0000-0000-00000A020000}"/>
    <cellStyle name="쉼표 [0] 28 3" xfId="524" xr:uid="{00000000-0005-0000-0000-00000B020000}"/>
    <cellStyle name="쉼표 [0] 28 4" xfId="525" xr:uid="{00000000-0005-0000-0000-00000C020000}"/>
    <cellStyle name="쉼표 [0] 29" xfId="526" xr:uid="{00000000-0005-0000-0000-00000D020000}"/>
    <cellStyle name="쉼표 [0] 3" xfId="527" xr:uid="{00000000-0005-0000-0000-00000E020000}"/>
    <cellStyle name="쉼표 [0] 3 10" xfId="528" xr:uid="{00000000-0005-0000-0000-00000F020000}"/>
    <cellStyle name="쉼표 [0] 3 10 2" xfId="529" xr:uid="{00000000-0005-0000-0000-000010020000}"/>
    <cellStyle name="쉼표 [0] 3 11" xfId="530" xr:uid="{00000000-0005-0000-0000-000011020000}"/>
    <cellStyle name="쉼표 [0] 3 12" xfId="531" xr:uid="{00000000-0005-0000-0000-000012020000}"/>
    <cellStyle name="쉼표 [0] 3 13" xfId="532" xr:uid="{00000000-0005-0000-0000-000013020000}"/>
    <cellStyle name="쉼표 [0] 3 14" xfId="533" xr:uid="{00000000-0005-0000-0000-000014020000}"/>
    <cellStyle name="쉼표 [0] 3 15" xfId="534" xr:uid="{00000000-0005-0000-0000-000015020000}"/>
    <cellStyle name="쉼표 [0] 3 16" xfId="535" xr:uid="{00000000-0005-0000-0000-000016020000}"/>
    <cellStyle name="쉼표 [0] 3 17" xfId="536" xr:uid="{00000000-0005-0000-0000-000017020000}"/>
    <cellStyle name="쉼표 [0] 3 18" xfId="537" xr:uid="{00000000-0005-0000-0000-000018020000}"/>
    <cellStyle name="쉼표 [0] 3 19" xfId="538" xr:uid="{00000000-0005-0000-0000-000019020000}"/>
    <cellStyle name="쉼표 [0] 3 2" xfId="539" xr:uid="{00000000-0005-0000-0000-00001A020000}"/>
    <cellStyle name="쉼표 [0] 3 2 2" xfId="540" xr:uid="{00000000-0005-0000-0000-00001B020000}"/>
    <cellStyle name="쉼표 [0] 3 20" xfId="541" xr:uid="{00000000-0005-0000-0000-00001C020000}"/>
    <cellStyle name="쉼표 [0] 3 21" xfId="542" xr:uid="{00000000-0005-0000-0000-00001D020000}"/>
    <cellStyle name="쉼표 [0] 3 22" xfId="543" xr:uid="{00000000-0005-0000-0000-00001E020000}"/>
    <cellStyle name="쉼표 [0] 3 3" xfId="544" xr:uid="{00000000-0005-0000-0000-00001F020000}"/>
    <cellStyle name="쉼표 [0] 3 3 2" xfId="545" xr:uid="{00000000-0005-0000-0000-000020020000}"/>
    <cellStyle name="쉼표 [0] 3 4" xfId="546" xr:uid="{00000000-0005-0000-0000-000021020000}"/>
    <cellStyle name="쉼표 [0] 3 4 2" xfId="547" xr:uid="{00000000-0005-0000-0000-000022020000}"/>
    <cellStyle name="쉼표 [0] 3 4 3" xfId="548" xr:uid="{00000000-0005-0000-0000-000023020000}"/>
    <cellStyle name="쉼표 [0] 3 5" xfId="549" xr:uid="{00000000-0005-0000-0000-000024020000}"/>
    <cellStyle name="쉼표 [0] 3 6" xfId="550" xr:uid="{00000000-0005-0000-0000-000025020000}"/>
    <cellStyle name="쉼표 [0] 3 7" xfId="551" xr:uid="{00000000-0005-0000-0000-000026020000}"/>
    <cellStyle name="쉼표 [0] 3 7 2" xfId="552" xr:uid="{00000000-0005-0000-0000-000027020000}"/>
    <cellStyle name="쉼표 [0] 3 7 3" xfId="553" xr:uid="{00000000-0005-0000-0000-000028020000}"/>
    <cellStyle name="쉼표 [0] 3 7 4" xfId="554" xr:uid="{00000000-0005-0000-0000-000029020000}"/>
    <cellStyle name="쉼표 [0] 3 7 5" xfId="555" xr:uid="{00000000-0005-0000-0000-00002A020000}"/>
    <cellStyle name="쉼표 [0] 3 7 6" xfId="556" xr:uid="{00000000-0005-0000-0000-00002B020000}"/>
    <cellStyle name="쉼표 [0] 3 7 7" xfId="557" xr:uid="{00000000-0005-0000-0000-00002C020000}"/>
    <cellStyle name="쉼표 [0] 3 7 8" xfId="558" xr:uid="{00000000-0005-0000-0000-00002D020000}"/>
    <cellStyle name="쉼표 [0] 3 7 9" xfId="559" xr:uid="{00000000-0005-0000-0000-00002E020000}"/>
    <cellStyle name="쉼표 [0] 3 8" xfId="560" xr:uid="{00000000-0005-0000-0000-00002F020000}"/>
    <cellStyle name="쉼표 [0] 3 8 2" xfId="561" xr:uid="{00000000-0005-0000-0000-000030020000}"/>
    <cellStyle name="쉼표 [0] 3 9" xfId="562" xr:uid="{00000000-0005-0000-0000-000031020000}"/>
    <cellStyle name="쉼표 [0] 3 9 2" xfId="563" xr:uid="{00000000-0005-0000-0000-000032020000}"/>
    <cellStyle name="쉼표 [0] 3 9 3" xfId="564" xr:uid="{00000000-0005-0000-0000-000033020000}"/>
    <cellStyle name="쉼표 [0] 3 9 4" xfId="565" xr:uid="{00000000-0005-0000-0000-000034020000}"/>
    <cellStyle name="쉼표 [0] 3 9 5" xfId="566" xr:uid="{00000000-0005-0000-0000-000035020000}"/>
    <cellStyle name="쉼표 [0] 3 9 6" xfId="567" xr:uid="{00000000-0005-0000-0000-000036020000}"/>
    <cellStyle name="쉼표 [0] 3 9 7" xfId="568" xr:uid="{00000000-0005-0000-0000-000037020000}"/>
    <cellStyle name="쉼표 [0] 3 9 8" xfId="569" xr:uid="{00000000-0005-0000-0000-000038020000}"/>
    <cellStyle name="쉼표 [0] 3 9 9" xfId="570" xr:uid="{00000000-0005-0000-0000-000039020000}"/>
    <cellStyle name="쉼표 [0] 30" xfId="571" xr:uid="{00000000-0005-0000-0000-00003A020000}"/>
    <cellStyle name="쉼표 [0] 31" xfId="572" xr:uid="{00000000-0005-0000-0000-00003B020000}"/>
    <cellStyle name="쉼표 [0] 31 2" xfId="573" xr:uid="{00000000-0005-0000-0000-00003C020000}"/>
    <cellStyle name="쉼표 [0] 31 3" xfId="574" xr:uid="{00000000-0005-0000-0000-00003D020000}"/>
    <cellStyle name="쉼표 [0] 32" xfId="575" xr:uid="{00000000-0005-0000-0000-00003E020000}"/>
    <cellStyle name="쉼표 [0] 33" xfId="1" xr:uid="{00000000-0005-0000-0000-00003F020000}"/>
    <cellStyle name="쉼표 [0] 4" xfId="576" xr:uid="{00000000-0005-0000-0000-000040020000}"/>
    <cellStyle name="쉼표 [0] 4 2" xfId="577" xr:uid="{00000000-0005-0000-0000-000041020000}"/>
    <cellStyle name="쉼표 [0] 4 2 2" xfId="578" xr:uid="{00000000-0005-0000-0000-000042020000}"/>
    <cellStyle name="쉼표 [0] 4 3" xfId="579" xr:uid="{00000000-0005-0000-0000-000043020000}"/>
    <cellStyle name="쉼표 [0] 5" xfId="580" xr:uid="{00000000-0005-0000-0000-000044020000}"/>
    <cellStyle name="쉼표 [0] 5 2" xfId="581" xr:uid="{00000000-0005-0000-0000-000045020000}"/>
    <cellStyle name="쉼표 [0] 5 3" xfId="582" xr:uid="{00000000-0005-0000-0000-000046020000}"/>
    <cellStyle name="쉼표 [0] 5 4" xfId="583" xr:uid="{00000000-0005-0000-0000-000047020000}"/>
    <cellStyle name="쉼표 [0] 5 4 2" xfId="584" xr:uid="{00000000-0005-0000-0000-000048020000}"/>
    <cellStyle name="쉼표 [0] 5 4 2 2" xfId="585" xr:uid="{00000000-0005-0000-0000-000049020000}"/>
    <cellStyle name="쉼표 [0] 5 4 2 3" xfId="586" xr:uid="{00000000-0005-0000-0000-00004A020000}"/>
    <cellStyle name="쉼표 [0] 5 5" xfId="587" xr:uid="{00000000-0005-0000-0000-00004B020000}"/>
    <cellStyle name="쉼표 [0] 5 5 2" xfId="588" xr:uid="{00000000-0005-0000-0000-00004C020000}"/>
    <cellStyle name="쉼표 [0] 5 5 3" xfId="589" xr:uid="{00000000-0005-0000-0000-00004D020000}"/>
    <cellStyle name="쉼표 [0] 6" xfId="590" xr:uid="{00000000-0005-0000-0000-00004E020000}"/>
    <cellStyle name="쉼표 [0] 6 2" xfId="591" xr:uid="{00000000-0005-0000-0000-00004F020000}"/>
    <cellStyle name="쉼표 [0] 7" xfId="592" xr:uid="{00000000-0005-0000-0000-000050020000}"/>
    <cellStyle name="쉼표 [0] 7 2" xfId="593" xr:uid="{00000000-0005-0000-0000-000051020000}"/>
    <cellStyle name="쉼표 [0] 8" xfId="594" xr:uid="{00000000-0005-0000-0000-000052020000}"/>
    <cellStyle name="쉼표 [0] 8 2" xfId="595" xr:uid="{00000000-0005-0000-0000-000053020000}"/>
    <cellStyle name="쉼표 [0] 9" xfId="596" xr:uid="{00000000-0005-0000-0000-000054020000}"/>
    <cellStyle name="스타일 1" xfId="597" xr:uid="{00000000-0005-0000-0000-000055020000}"/>
    <cellStyle name="스타일 2" xfId="598" xr:uid="{00000000-0005-0000-0000-000056020000}"/>
    <cellStyle name="스타일 3" xfId="599" xr:uid="{00000000-0005-0000-0000-000057020000}"/>
    <cellStyle name="스타일 4" xfId="600" xr:uid="{00000000-0005-0000-0000-000058020000}"/>
    <cellStyle name="안건회계법인" xfId="601" xr:uid="{00000000-0005-0000-0000-000059020000}"/>
    <cellStyle name="연결된 셀 2" xfId="602" xr:uid="{00000000-0005-0000-0000-00005A020000}"/>
    <cellStyle name="연결된 셀 3" xfId="603" xr:uid="{00000000-0005-0000-0000-00005B020000}"/>
    <cellStyle name="연결된 셀 4" xfId="604" xr:uid="{00000000-0005-0000-0000-00005C020000}"/>
    <cellStyle name="연결된 셀 5" xfId="605" xr:uid="{00000000-0005-0000-0000-00005D020000}"/>
    <cellStyle name="연결된 셀 6" xfId="606" xr:uid="{00000000-0005-0000-0000-00005E020000}"/>
    <cellStyle name="요약 2" xfId="607" xr:uid="{00000000-0005-0000-0000-00005F020000}"/>
    <cellStyle name="요약 3" xfId="608" xr:uid="{00000000-0005-0000-0000-000060020000}"/>
    <cellStyle name="요약 4" xfId="609" xr:uid="{00000000-0005-0000-0000-000061020000}"/>
    <cellStyle name="요약 5" xfId="610" xr:uid="{00000000-0005-0000-0000-000062020000}"/>
    <cellStyle name="요약 6" xfId="611" xr:uid="{00000000-0005-0000-0000-000063020000}"/>
    <cellStyle name="일반숫자" xfId="612" xr:uid="{00000000-0005-0000-0000-000064020000}"/>
    <cellStyle name="입력 2" xfId="613" xr:uid="{00000000-0005-0000-0000-000065020000}"/>
    <cellStyle name="입력 3" xfId="614" xr:uid="{00000000-0005-0000-0000-000066020000}"/>
    <cellStyle name="입력 4" xfId="615" xr:uid="{00000000-0005-0000-0000-000067020000}"/>
    <cellStyle name="입력 5" xfId="616" xr:uid="{00000000-0005-0000-0000-000068020000}"/>
    <cellStyle name="입력 6" xfId="617" xr:uid="{00000000-0005-0000-0000-000069020000}"/>
    <cellStyle name="자리수 - 유형3" xfId="618" xr:uid="{00000000-0005-0000-0000-00006A020000}"/>
    <cellStyle name="제목 1 2" xfId="619" xr:uid="{00000000-0005-0000-0000-00006B020000}"/>
    <cellStyle name="제목 1 3" xfId="620" xr:uid="{00000000-0005-0000-0000-00006C020000}"/>
    <cellStyle name="제목 1 4" xfId="621" xr:uid="{00000000-0005-0000-0000-00006D020000}"/>
    <cellStyle name="제목 1 5" xfId="622" xr:uid="{00000000-0005-0000-0000-00006E020000}"/>
    <cellStyle name="제목 1 6" xfId="623" xr:uid="{00000000-0005-0000-0000-00006F020000}"/>
    <cellStyle name="제목 2 2" xfId="624" xr:uid="{00000000-0005-0000-0000-000070020000}"/>
    <cellStyle name="제목 2 3" xfId="625" xr:uid="{00000000-0005-0000-0000-000071020000}"/>
    <cellStyle name="제목 2 4" xfId="626" xr:uid="{00000000-0005-0000-0000-000072020000}"/>
    <cellStyle name="제목 2 5" xfId="627" xr:uid="{00000000-0005-0000-0000-000073020000}"/>
    <cellStyle name="제목 2 6" xfId="628" xr:uid="{00000000-0005-0000-0000-000074020000}"/>
    <cellStyle name="제목 3 2" xfId="629" xr:uid="{00000000-0005-0000-0000-000075020000}"/>
    <cellStyle name="제목 3 3" xfId="630" xr:uid="{00000000-0005-0000-0000-000076020000}"/>
    <cellStyle name="제목 3 4" xfId="631" xr:uid="{00000000-0005-0000-0000-000077020000}"/>
    <cellStyle name="제목 3 5" xfId="632" xr:uid="{00000000-0005-0000-0000-000078020000}"/>
    <cellStyle name="제목 3 6" xfId="633" xr:uid="{00000000-0005-0000-0000-000079020000}"/>
    <cellStyle name="제목 4 2" xfId="634" xr:uid="{00000000-0005-0000-0000-00007A020000}"/>
    <cellStyle name="제목 4 3" xfId="635" xr:uid="{00000000-0005-0000-0000-00007B020000}"/>
    <cellStyle name="제목 4 4" xfId="636" xr:uid="{00000000-0005-0000-0000-00007C020000}"/>
    <cellStyle name="제목 4 5" xfId="637" xr:uid="{00000000-0005-0000-0000-00007D020000}"/>
    <cellStyle name="제목 4 6" xfId="638" xr:uid="{00000000-0005-0000-0000-00007E020000}"/>
    <cellStyle name="제목 5" xfId="639" xr:uid="{00000000-0005-0000-0000-00007F020000}"/>
    <cellStyle name="제목 6" xfId="640" xr:uid="{00000000-0005-0000-0000-000080020000}"/>
    <cellStyle name="제목 7" xfId="641" xr:uid="{00000000-0005-0000-0000-000081020000}"/>
    <cellStyle name="제목 8" xfId="642" xr:uid="{00000000-0005-0000-0000-000082020000}"/>
    <cellStyle name="제목 9" xfId="643" xr:uid="{00000000-0005-0000-0000-000083020000}"/>
    <cellStyle name="좋음 2" xfId="644" xr:uid="{00000000-0005-0000-0000-000084020000}"/>
    <cellStyle name="좋음 3" xfId="645" xr:uid="{00000000-0005-0000-0000-000085020000}"/>
    <cellStyle name="좋음 4" xfId="646" xr:uid="{00000000-0005-0000-0000-000086020000}"/>
    <cellStyle name="좋음 5" xfId="647" xr:uid="{00000000-0005-0000-0000-000087020000}"/>
    <cellStyle name="좋음 6" xfId="648" xr:uid="{00000000-0005-0000-0000-000088020000}"/>
    <cellStyle name="지정되지 않음" xfId="649" xr:uid="{00000000-0005-0000-0000-000089020000}"/>
    <cellStyle name="출력 2" xfId="650" xr:uid="{00000000-0005-0000-0000-00008A020000}"/>
    <cellStyle name="출력 3" xfId="651" xr:uid="{00000000-0005-0000-0000-00008B020000}"/>
    <cellStyle name="출력 4" xfId="652" xr:uid="{00000000-0005-0000-0000-00008C020000}"/>
    <cellStyle name="출력 5" xfId="653" xr:uid="{00000000-0005-0000-0000-00008D020000}"/>
    <cellStyle name="출력 6" xfId="654" xr:uid="{00000000-0005-0000-0000-00008E020000}"/>
    <cellStyle name="콤마 [0]" xfId="655" xr:uid="{00000000-0005-0000-0000-00008F020000}"/>
    <cellStyle name="콤마_  종  합  " xfId="656" xr:uid="{00000000-0005-0000-0000-000090020000}"/>
    <cellStyle name="통화 [0] 2" xfId="657" xr:uid="{00000000-0005-0000-0000-000091020000}"/>
    <cellStyle name="통화 [0] 2 2" xfId="658" xr:uid="{00000000-0005-0000-0000-000092020000}"/>
    <cellStyle name="통화 [0] 2 3" xfId="659" xr:uid="{00000000-0005-0000-0000-000093020000}"/>
    <cellStyle name="표준" xfId="0" builtinId="0"/>
    <cellStyle name="표준 10" xfId="660" xr:uid="{00000000-0005-0000-0000-000095020000}"/>
    <cellStyle name="표준 10 2" xfId="661" xr:uid="{00000000-0005-0000-0000-000096020000}"/>
    <cellStyle name="표준 10 2 2" xfId="662" xr:uid="{00000000-0005-0000-0000-000097020000}"/>
    <cellStyle name="표준 10 2 2 2" xfId="663" xr:uid="{00000000-0005-0000-0000-000098020000}"/>
    <cellStyle name="표준 10 2 2 2 2" xfId="664" xr:uid="{00000000-0005-0000-0000-000099020000}"/>
    <cellStyle name="표준 10 2 2 2 2 2" xfId="665" xr:uid="{00000000-0005-0000-0000-00009A020000}"/>
    <cellStyle name="표준 10 2 2 2 2 2 2" xfId="666" xr:uid="{00000000-0005-0000-0000-00009B020000}"/>
    <cellStyle name="표준 10 2 2 2 2 2 2 2" xfId="667" xr:uid="{00000000-0005-0000-0000-00009C020000}"/>
    <cellStyle name="표준 10 2 2 2 2 2 2 2 2" xfId="668" xr:uid="{00000000-0005-0000-0000-00009D020000}"/>
    <cellStyle name="표준 10 2 3" xfId="669" xr:uid="{00000000-0005-0000-0000-00009E020000}"/>
    <cellStyle name="표준 10 2 4" xfId="670" xr:uid="{00000000-0005-0000-0000-00009F020000}"/>
    <cellStyle name="표준 10 2 5" xfId="671" xr:uid="{00000000-0005-0000-0000-0000A0020000}"/>
    <cellStyle name="표준 10 2_부산센터월결산자료-2월" xfId="672" xr:uid="{00000000-0005-0000-0000-0000A1020000}"/>
    <cellStyle name="표준 10 3 2" xfId="673" xr:uid="{00000000-0005-0000-0000-0000A2020000}"/>
    <cellStyle name="표준 10 3 2 2" xfId="674" xr:uid="{00000000-0005-0000-0000-0000A3020000}"/>
    <cellStyle name="표준 10 3 2 3" xfId="675" xr:uid="{00000000-0005-0000-0000-0000A4020000}"/>
    <cellStyle name="표준 10_2월 결산자료" xfId="676" xr:uid="{00000000-0005-0000-0000-0000A5020000}"/>
    <cellStyle name="표준 11" xfId="677" xr:uid="{00000000-0005-0000-0000-0000A6020000}"/>
    <cellStyle name="표준 12" xfId="678" xr:uid="{00000000-0005-0000-0000-0000A7020000}"/>
    <cellStyle name="표준 13" xfId="679" xr:uid="{00000000-0005-0000-0000-0000A8020000}"/>
    <cellStyle name="표준 14" xfId="680" xr:uid="{00000000-0005-0000-0000-0000A9020000}"/>
    <cellStyle name="표준 15" xfId="681" xr:uid="{00000000-0005-0000-0000-0000AA020000}"/>
    <cellStyle name="표준 16" xfId="682" xr:uid="{00000000-0005-0000-0000-0000AB020000}"/>
    <cellStyle name="표준 17" xfId="683" xr:uid="{00000000-0005-0000-0000-0000AC020000}"/>
    <cellStyle name="표준 18" xfId="684" xr:uid="{00000000-0005-0000-0000-0000AD020000}"/>
    <cellStyle name="표준 19" xfId="685" xr:uid="{00000000-0005-0000-0000-0000AE020000}"/>
    <cellStyle name="표준 2" xfId="686" xr:uid="{00000000-0005-0000-0000-0000AF020000}"/>
    <cellStyle name="표준 2 2" xfId="687" xr:uid="{00000000-0005-0000-0000-0000B0020000}"/>
    <cellStyle name="표준 2 2 10" xfId="688" xr:uid="{00000000-0005-0000-0000-0000B1020000}"/>
    <cellStyle name="표준 2 2 11" xfId="689" xr:uid="{00000000-0005-0000-0000-0000B2020000}"/>
    <cellStyle name="표준 2 2 12" xfId="690" xr:uid="{00000000-0005-0000-0000-0000B3020000}"/>
    <cellStyle name="표준 2 2 13" xfId="691" xr:uid="{00000000-0005-0000-0000-0000B4020000}"/>
    <cellStyle name="표준 2 2 13 2" xfId="692" xr:uid="{00000000-0005-0000-0000-0000B5020000}"/>
    <cellStyle name="표준 2 2 13 2 2" xfId="693" xr:uid="{00000000-0005-0000-0000-0000B6020000}"/>
    <cellStyle name="표준 2 2 13 2 2 2" xfId="694" xr:uid="{00000000-0005-0000-0000-0000B7020000}"/>
    <cellStyle name="표준 2 2 13 2 2 2 2" xfId="695" xr:uid="{00000000-0005-0000-0000-0000B8020000}"/>
    <cellStyle name="표준 2 2 13 2 2 2 2 2" xfId="696" xr:uid="{00000000-0005-0000-0000-0000B9020000}"/>
    <cellStyle name="표준 2 2 13 2 2 2 2 2 2" xfId="697" xr:uid="{00000000-0005-0000-0000-0000BA020000}"/>
    <cellStyle name="표준 2 2 14" xfId="698" xr:uid="{00000000-0005-0000-0000-0000BB020000}"/>
    <cellStyle name="표준 2 2 15" xfId="699" xr:uid="{00000000-0005-0000-0000-0000BC020000}"/>
    <cellStyle name="표준 2 2 16" xfId="700" xr:uid="{00000000-0005-0000-0000-0000BD020000}"/>
    <cellStyle name="표준 2 2 17" xfId="701" xr:uid="{00000000-0005-0000-0000-0000BE020000}"/>
    <cellStyle name="표준 2 2 17 2" xfId="702" xr:uid="{00000000-0005-0000-0000-0000BF020000}"/>
    <cellStyle name="표준 2 2 17 3" xfId="703" xr:uid="{00000000-0005-0000-0000-0000C0020000}"/>
    <cellStyle name="표준 2 2 2" xfId="704" xr:uid="{00000000-0005-0000-0000-0000C1020000}"/>
    <cellStyle name="표준 2 2 2 2" xfId="705" xr:uid="{00000000-0005-0000-0000-0000C2020000}"/>
    <cellStyle name="표준 2 2 3" xfId="706" xr:uid="{00000000-0005-0000-0000-0000C3020000}"/>
    <cellStyle name="표준 2 2 4" xfId="707" xr:uid="{00000000-0005-0000-0000-0000C4020000}"/>
    <cellStyle name="표준 2 2 4 2" xfId="708" xr:uid="{00000000-0005-0000-0000-0000C5020000}"/>
    <cellStyle name="표준 2 2 4 2 2" xfId="709" xr:uid="{00000000-0005-0000-0000-0000C6020000}"/>
    <cellStyle name="표준 2 2 4 2 2 2" xfId="710" xr:uid="{00000000-0005-0000-0000-0000C7020000}"/>
    <cellStyle name="표준 2 2 4 2 2_2월 결산자료" xfId="711" xr:uid="{00000000-0005-0000-0000-0000C8020000}"/>
    <cellStyle name="표준 2 2 4 2_부산센터월결산자료-1월영업" xfId="712" xr:uid="{00000000-0005-0000-0000-0000C9020000}"/>
    <cellStyle name="표준 2 2 4_2월 결산자료" xfId="713" xr:uid="{00000000-0005-0000-0000-0000CA020000}"/>
    <cellStyle name="표준 2 2 5" xfId="714" xr:uid="{00000000-0005-0000-0000-0000CB020000}"/>
    <cellStyle name="표준 2 2 6" xfId="715" xr:uid="{00000000-0005-0000-0000-0000CC020000}"/>
    <cellStyle name="표준 2 2 6 2" xfId="716" xr:uid="{00000000-0005-0000-0000-0000CD020000}"/>
    <cellStyle name="표준 2 2 6 3" xfId="717" xr:uid="{00000000-0005-0000-0000-0000CE020000}"/>
    <cellStyle name="표준 2 2 6_5월" xfId="718" xr:uid="{00000000-0005-0000-0000-0000CF020000}"/>
    <cellStyle name="표준 2 2 7" xfId="719" xr:uid="{00000000-0005-0000-0000-0000D0020000}"/>
    <cellStyle name="표준 2 2 7 2" xfId="720" xr:uid="{00000000-0005-0000-0000-0000D1020000}"/>
    <cellStyle name="표준 2 2 7 2 2" xfId="721" xr:uid="{00000000-0005-0000-0000-0000D2020000}"/>
    <cellStyle name="표준 2 2 7 2 2 2" xfId="722" xr:uid="{00000000-0005-0000-0000-0000D3020000}"/>
    <cellStyle name="표준 2 2 7 2 2 2 2" xfId="723" xr:uid="{00000000-0005-0000-0000-0000D4020000}"/>
    <cellStyle name="표준 2 2 7 2 2 2 3" xfId="724" xr:uid="{00000000-0005-0000-0000-0000D5020000}"/>
    <cellStyle name="표준 2 2 7 2 2 2 3 2" xfId="725" xr:uid="{00000000-0005-0000-0000-0000D6020000}"/>
    <cellStyle name="표준 2 2 7 2 2 2 3_부산센터월결산자료-1월영업" xfId="726" xr:uid="{00000000-0005-0000-0000-0000D7020000}"/>
    <cellStyle name="표준 2 2 7 2 2 2_부산센터월결산자료-1월영업" xfId="727" xr:uid="{00000000-0005-0000-0000-0000D8020000}"/>
    <cellStyle name="표준 2 2 7 2 2_부산센터월결산자료-1월영업" xfId="728" xr:uid="{00000000-0005-0000-0000-0000D9020000}"/>
    <cellStyle name="표준 2 2 7 2_부산센터월결산자료-1월영업" xfId="729" xr:uid="{00000000-0005-0000-0000-0000DA020000}"/>
    <cellStyle name="표준 2 2 7_부산센터월결산자료-1월영업" xfId="730" xr:uid="{00000000-0005-0000-0000-0000DB020000}"/>
    <cellStyle name="표준 2 2 8" xfId="731" xr:uid="{00000000-0005-0000-0000-0000DC020000}"/>
    <cellStyle name="표준 2 2 9" xfId="732" xr:uid="{00000000-0005-0000-0000-0000DD020000}"/>
    <cellStyle name="표준 2 2 9 2" xfId="733" xr:uid="{00000000-0005-0000-0000-0000DE020000}"/>
    <cellStyle name="표준 2 2_09년 퍼시스 영업종합" xfId="734" xr:uid="{00000000-0005-0000-0000-0000DF020000}"/>
    <cellStyle name="표준 2 3" xfId="735" xr:uid="{00000000-0005-0000-0000-0000E0020000}"/>
    <cellStyle name="표준 2 3 2" xfId="736" xr:uid="{00000000-0005-0000-0000-0000E1020000}"/>
    <cellStyle name="표준 2 3 3" xfId="737" xr:uid="{00000000-0005-0000-0000-0000E2020000}"/>
    <cellStyle name="표준 2 4" xfId="738" xr:uid="{00000000-0005-0000-0000-0000E3020000}"/>
    <cellStyle name="표준 2 5" xfId="739" xr:uid="{00000000-0005-0000-0000-0000E4020000}"/>
    <cellStyle name="표준 2 6" xfId="740" xr:uid="{00000000-0005-0000-0000-0000E5020000}"/>
    <cellStyle name="표준 2 6 2" xfId="741" xr:uid="{00000000-0005-0000-0000-0000E6020000}"/>
    <cellStyle name="표준 2 6 3" xfId="742" xr:uid="{00000000-0005-0000-0000-0000E7020000}"/>
    <cellStyle name="표준 2_09@" xfId="743" xr:uid="{00000000-0005-0000-0000-0000E8020000}"/>
    <cellStyle name="표준 20" xfId="744" xr:uid="{00000000-0005-0000-0000-0000E9020000}"/>
    <cellStyle name="표준 21" xfId="745" xr:uid="{00000000-0005-0000-0000-0000EA020000}"/>
    <cellStyle name="표준 22" xfId="746" xr:uid="{00000000-0005-0000-0000-0000EB020000}"/>
    <cellStyle name="표준 23" xfId="747" xr:uid="{00000000-0005-0000-0000-0000EC020000}"/>
    <cellStyle name="표준 24" xfId="748" xr:uid="{00000000-0005-0000-0000-0000ED020000}"/>
    <cellStyle name="표준 25" xfId="749" xr:uid="{00000000-0005-0000-0000-0000EE020000}"/>
    <cellStyle name="표준 26" xfId="750" xr:uid="{00000000-0005-0000-0000-0000EF020000}"/>
    <cellStyle name="표준 26 2" xfId="751" xr:uid="{00000000-0005-0000-0000-0000F0020000}"/>
    <cellStyle name="표준 26 3" xfId="752" xr:uid="{00000000-0005-0000-0000-0000F1020000}"/>
    <cellStyle name="표준 27" xfId="753" xr:uid="{00000000-0005-0000-0000-0000F2020000}"/>
    <cellStyle name="표준 27 2" xfId="754" xr:uid="{00000000-0005-0000-0000-0000F3020000}"/>
    <cellStyle name="표준 27 3" xfId="755" xr:uid="{00000000-0005-0000-0000-0000F4020000}"/>
    <cellStyle name="표준 28" xfId="756" xr:uid="{00000000-0005-0000-0000-0000F5020000}"/>
    <cellStyle name="표준 28 2" xfId="757" xr:uid="{00000000-0005-0000-0000-0000F6020000}"/>
    <cellStyle name="표준 28 3" xfId="758" xr:uid="{00000000-0005-0000-0000-0000F7020000}"/>
    <cellStyle name="표준 29" xfId="759" xr:uid="{00000000-0005-0000-0000-0000F8020000}"/>
    <cellStyle name="표준 3" xfId="760" xr:uid="{00000000-0005-0000-0000-0000F9020000}"/>
    <cellStyle name="표준 3 2" xfId="761" xr:uid="{00000000-0005-0000-0000-0000FA020000}"/>
    <cellStyle name="표준 30" xfId="762" xr:uid="{00000000-0005-0000-0000-0000FB020000}"/>
    <cellStyle name="표준 31" xfId="763" xr:uid="{00000000-0005-0000-0000-0000FC020000}"/>
    <cellStyle name="표준 32" xfId="764" xr:uid="{00000000-0005-0000-0000-0000FD020000}"/>
    <cellStyle name="표준 33" xfId="765" xr:uid="{00000000-0005-0000-0000-0000FE020000}"/>
    <cellStyle name="표준 34" xfId="766" xr:uid="{00000000-0005-0000-0000-0000FF020000}"/>
    <cellStyle name="표준 34 2" xfId="767" xr:uid="{00000000-0005-0000-0000-000000030000}"/>
    <cellStyle name="표준 34 3" xfId="768" xr:uid="{00000000-0005-0000-0000-000001030000}"/>
    <cellStyle name="표준 35" xfId="769" xr:uid="{00000000-0005-0000-0000-000002030000}"/>
    <cellStyle name="표준 36" xfId="770" xr:uid="{00000000-0005-0000-0000-000003030000}"/>
    <cellStyle name="표준 37" xfId="771" xr:uid="{00000000-0005-0000-0000-000004030000}"/>
    <cellStyle name="표준 38" xfId="772" xr:uid="{00000000-0005-0000-0000-000005030000}"/>
    <cellStyle name="표준 39" xfId="773" xr:uid="{00000000-0005-0000-0000-000006030000}"/>
    <cellStyle name="표준 4" xfId="774" xr:uid="{00000000-0005-0000-0000-000007030000}"/>
    <cellStyle name="표준 4 2" xfId="775" xr:uid="{00000000-0005-0000-0000-000008030000}"/>
    <cellStyle name="표준 4 2 2" xfId="776" xr:uid="{00000000-0005-0000-0000-000009030000}"/>
    <cellStyle name="표준 4 3" xfId="777" xr:uid="{00000000-0005-0000-0000-00000A030000}"/>
    <cellStyle name="표준 4 4" xfId="778" xr:uid="{00000000-0005-0000-0000-00000B030000}"/>
    <cellStyle name="표준 4 5" xfId="779" xr:uid="{00000000-0005-0000-0000-00000C030000}"/>
    <cellStyle name="표준 4 5 2" xfId="780" xr:uid="{00000000-0005-0000-0000-00000D030000}"/>
    <cellStyle name="표준 4 5 3" xfId="781" xr:uid="{00000000-0005-0000-0000-00000E030000}"/>
    <cellStyle name="표준 40" xfId="782" xr:uid="{00000000-0005-0000-0000-00000F030000}"/>
    <cellStyle name="표준 41" xfId="783" xr:uid="{00000000-0005-0000-0000-000010030000}"/>
    <cellStyle name="표준 42" xfId="784" xr:uid="{00000000-0005-0000-0000-000011030000}"/>
    <cellStyle name="표준 43" xfId="785" xr:uid="{00000000-0005-0000-0000-000012030000}"/>
    <cellStyle name="표준 44" xfId="786" xr:uid="{00000000-0005-0000-0000-000013030000}"/>
    <cellStyle name="표준 45" xfId="787" xr:uid="{00000000-0005-0000-0000-000014030000}"/>
    <cellStyle name="표준 46" xfId="788" xr:uid="{00000000-0005-0000-0000-000015030000}"/>
    <cellStyle name="표준 47" xfId="789" xr:uid="{00000000-0005-0000-0000-000016030000}"/>
    <cellStyle name="표준 48" xfId="790" xr:uid="{00000000-0005-0000-0000-000017030000}"/>
    <cellStyle name="표준 49" xfId="791" xr:uid="{00000000-0005-0000-0000-000018030000}"/>
    <cellStyle name="표준 5" xfId="792" xr:uid="{00000000-0005-0000-0000-000019030000}"/>
    <cellStyle name="표준 5 2" xfId="793" xr:uid="{00000000-0005-0000-0000-00001A030000}"/>
    <cellStyle name="표준 5 2 8" xfId="794" xr:uid="{00000000-0005-0000-0000-00001B030000}"/>
    <cellStyle name="표준 5 3" xfId="795" xr:uid="{00000000-0005-0000-0000-00001C030000}"/>
    <cellStyle name="표준 5 3 7" xfId="796" xr:uid="{00000000-0005-0000-0000-00001D030000}"/>
    <cellStyle name="표준 50" xfId="797" xr:uid="{00000000-0005-0000-0000-00001E030000}"/>
    <cellStyle name="표준 51" xfId="798" xr:uid="{00000000-0005-0000-0000-00001F030000}"/>
    <cellStyle name="표준 52" xfId="799" xr:uid="{00000000-0005-0000-0000-000020030000}"/>
    <cellStyle name="표준 53" xfId="800" xr:uid="{00000000-0005-0000-0000-000021030000}"/>
    <cellStyle name="표준 54" xfId="801" xr:uid="{00000000-0005-0000-0000-000022030000}"/>
    <cellStyle name="표준 55" xfId="802" xr:uid="{00000000-0005-0000-0000-000023030000}"/>
    <cellStyle name="표준 56" xfId="803" xr:uid="{00000000-0005-0000-0000-000024030000}"/>
    <cellStyle name="표준 57" xfId="804" xr:uid="{00000000-0005-0000-0000-000025030000}"/>
    <cellStyle name="표준 58" xfId="805" xr:uid="{00000000-0005-0000-0000-000026030000}"/>
    <cellStyle name="표준 59" xfId="806" xr:uid="{00000000-0005-0000-0000-000027030000}"/>
    <cellStyle name="표준 6" xfId="807" xr:uid="{00000000-0005-0000-0000-000028030000}"/>
    <cellStyle name="표준 6 2" xfId="808" xr:uid="{00000000-0005-0000-0000-000029030000}"/>
    <cellStyle name="표준 6 3" xfId="809" xr:uid="{00000000-0005-0000-0000-00002A030000}"/>
    <cellStyle name="표준 60" xfId="810" xr:uid="{00000000-0005-0000-0000-00002B030000}"/>
    <cellStyle name="표준 61" xfId="811" xr:uid="{00000000-0005-0000-0000-00002C030000}"/>
    <cellStyle name="표준 62" xfId="812" xr:uid="{00000000-0005-0000-0000-00002D030000}"/>
    <cellStyle name="표준 63" xfId="813" xr:uid="{00000000-0005-0000-0000-00002E030000}"/>
    <cellStyle name="표준 64" xfId="814" xr:uid="{00000000-0005-0000-0000-00002F030000}"/>
    <cellStyle name="표준 65" xfId="815" xr:uid="{00000000-0005-0000-0000-000030030000}"/>
    <cellStyle name="표준 66" xfId="816" xr:uid="{00000000-0005-0000-0000-000031030000}"/>
    <cellStyle name="표준 67 3 2" xfId="817" xr:uid="{00000000-0005-0000-0000-000032030000}"/>
    <cellStyle name="표준 67 3 2 2" xfId="818" xr:uid="{00000000-0005-0000-0000-000033030000}"/>
    <cellStyle name="표준 67 3 2 3" xfId="819" xr:uid="{00000000-0005-0000-0000-000034030000}"/>
    <cellStyle name="표준 68 2 3 2" xfId="820" xr:uid="{00000000-0005-0000-0000-000035030000}"/>
    <cellStyle name="표준 68 2 3 2 2" xfId="821" xr:uid="{00000000-0005-0000-0000-000036030000}"/>
    <cellStyle name="표준 68 2 3 2 3" xfId="822" xr:uid="{00000000-0005-0000-0000-000037030000}"/>
    <cellStyle name="표준 7" xfId="823" xr:uid="{00000000-0005-0000-0000-000038030000}"/>
    <cellStyle name="표준 7 2" xfId="824" xr:uid="{00000000-0005-0000-0000-000039030000}"/>
    <cellStyle name="표준 8" xfId="825" xr:uid="{00000000-0005-0000-0000-00003A030000}"/>
    <cellStyle name="표준 8 2" xfId="826" xr:uid="{00000000-0005-0000-0000-00003B030000}"/>
    <cellStyle name="표준 8 6 2" xfId="827" xr:uid="{00000000-0005-0000-0000-00003C030000}"/>
    <cellStyle name="표준 8 6 2 2" xfId="828" xr:uid="{00000000-0005-0000-0000-00003D030000}"/>
    <cellStyle name="표준 8 6 2 3" xfId="829" xr:uid="{00000000-0005-0000-0000-00003E030000}"/>
    <cellStyle name="표준 8 7" xfId="830" xr:uid="{00000000-0005-0000-0000-00003F030000}"/>
    <cellStyle name="표준 8 7 2" xfId="831" xr:uid="{00000000-0005-0000-0000-000040030000}"/>
    <cellStyle name="표준 8 7 3" xfId="832" xr:uid="{00000000-0005-0000-0000-000041030000}"/>
    <cellStyle name="표준 9" xfId="833" xr:uid="{00000000-0005-0000-0000-000042030000}"/>
    <cellStyle name="표준 9 2" xfId="834" xr:uid="{00000000-0005-0000-0000-000043030000}"/>
    <cellStyle name="하이퍼링크 2" xfId="835" xr:uid="{00000000-0005-0000-0000-000044030000}"/>
    <cellStyle name="하이퍼링크 3" xfId="836" xr:uid="{00000000-0005-0000-0000-000045030000}"/>
    <cellStyle name="헤드라인" xfId="837" xr:uid="{00000000-0005-0000-0000-000046030000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314738</xdr:colOff>
      <xdr:row>74</xdr:row>
      <xdr:rowOff>57983</xdr:rowOff>
    </xdr:from>
    <xdr:to>
      <xdr:col>10</xdr:col>
      <xdr:colOff>143410</xdr:colOff>
      <xdr:row>76</xdr:row>
      <xdr:rowOff>173934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5C38374-A09C-8A65-3DF4-D4929BEF3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6238" y="13641461"/>
          <a:ext cx="534626" cy="5300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3"/>
  <sheetViews>
    <sheetView showGridLines="0" workbookViewId="0">
      <selection activeCell="F6" sqref="F6"/>
    </sheetView>
  </sheetViews>
  <sheetFormatPr defaultRowHeight="17"/>
  <cols>
    <col min="2" max="2" width="22.83203125" customWidth="1"/>
    <col min="3" max="3" width="46.08203125" customWidth="1"/>
    <col min="4" max="4" width="17.08203125" customWidth="1"/>
  </cols>
  <sheetData>
    <row r="2" spans="2:4" ht="29.25" customHeight="1">
      <c r="B2" s="23" t="s">
        <v>69</v>
      </c>
      <c r="C2" s="23" t="s">
        <v>68</v>
      </c>
      <c r="D2" s="23" t="s">
        <v>67</v>
      </c>
    </row>
    <row r="3" spans="2:4" ht="29.25" customHeight="1">
      <c r="B3" s="22" t="s">
        <v>51</v>
      </c>
      <c r="C3" s="16" t="s">
        <v>61</v>
      </c>
      <c r="D3" s="15"/>
    </row>
    <row r="4" spans="2:4" ht="29.25" customHeight="1">
      <c r="B4" s="22" t="s">
        <v>52</v>
      </c>
      <c r="C4" s="16" t="s">
        <v>86</v>
      </c>
      <c r="D4" s="15"/>
    </row>
    <row r="5" spans="2:4" ht="29.25" customHeight="1">
      <c r="B5" s="22" t="s">
        <v>53</v>
      </c>
      <c r="C5" s="16" t="s">
        <v>62</v>
      </c>
      <c r="D5" s="15"/>
    </row>
    <row r="6" spans="2:4" ht="29.25" customHeight="1">
      <c r="B6" s="22" t="s">
        <v>7</v>
      </c>
      <c r="C6" s="16" t="s">
        <v>63</v>
      </c>
      <c r="D6" s="15"/>
    </row>
    <row r="7" spans="2:4" ht="29.25" customHeight="1">
      <c r="B7" s="22" t="s">
        <v>54</v>
      </c>
      <c r="C7" s="17">
        <v>45296</v>
      </c>
      <c r="D7" s="15"/>
    </row>
    <row r="8" spans="2:4" ht="29.25" customHeight="1">
      <c r="B8" s="22" t="s">
        <v>55</v>
      </c>
      <c r="C8" s="17">
        <v>45306</v>
      </c>
      <c r="D8" s="15"/>
    </row>
    <row r="9" spans="2:4" ht="29.25" customHeight="1">
      <c r="B9" s="22" t="s">
        <v>56</v>
      </c>
      <c r="C9" s="16" t="s">
        <v>64</v>
      </c>
      <c r="D9" s="15"/>
    </row>
    <row r="10" spans="2:4" ht="29.25" customHeight="1">
      <c r="B10" s="22" t="s">
        <v>57</v>
      </c>
      <c r="C10" s="16" t="s">
        <v>65</v>
      </c>
      <c r="D10" s="15"/>
    </row>
    <row r="11" spans="2:4" ht="29.25" customHeight="1">
      <c r="B11" s="22" t="s">
        <v>44</v>
      </c>
      <c r="C11" s="18">
        <v>250000</v>
      </c>
      <c r="D11" s="25" t="str">
        <f>NUMBERSTRING(C11,1)&amp;"원"</f>
        <v>이십오만원</v>
      </c>
    </row>
    <row r="12" spans="2:4" ht="29.25" customHeight="1">
      <c r="B12" s="22" t="s">
        <v>58</v>
      </c>
      <c r="C12" s="16" t="s">
        <v>66</v>
      </c>
      <c r="D12" s="15"/>
    </row>
    <row r="13" spans="2:4" ht="29.25" customHeight="1">
      <c r="B13" s="22" t="s">
        <v>71</v>
      </c>
      <c r="C13" s="17">
        <v>45296</v>
      </c>
      <c r="D13" s="1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81"/>
  <sheetViews>
    <sheetView showGridLines="0" tabSelected="1" view="pageBreakPreview" topLeftCell="A7" zoomScaleNormal="100" zoomScaleSheetLayoutView="100" workbookViewId="0">
      <selection activeCell="AF17" sqref="AF17"/>
    </sheetView>
  </sheetViews>
  <sheetFormatPr defaultColWidth="8.75" defaultRowHeight="17"/>
  <cols>
    <col min="1" max="1" width="4.58203125" style="1" customWidth="1"/>
    <col min="2" max="2" width="8" style="1" customWidth="1"/>
    <col min="3" max="23" width="4.58203125" style="1" customWidth="1"/>
    <col min="24" max="29" width="4.58203125" style="14" customWidth="1"/>
    <col min="30" max="31" width="8.75" style="14"/>
    <col min="32" max="32" width="10.58203125" style="14" bestFit="1" customWidth="1"/>
    <col min="33" max="33" width="8.83203125" style="14" bestFit="1" customWidth="1"/>
    <col min="34" max="16384" width="8.75" style="14"/>
  </cols>
  <sheetData>
    <row r="1" spans="1:34" ht="26">
      <c r="A1" s="24" t="s">
        <v>0</v>
      </c>
      <c r="B1" s="24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34">
      <c r="A2" s="13" t="s">
        <v>1</v>
      </c>
      <c r="B2" s="1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4">
      <c r="A3" s="61" t="s">
        <v>92</v>
      </c>
      <c r="B3" s="62"/>
      <c r="C3" s="57" t="s">
        <v>3</v>
      </c>
      <c r="D3" s="57"/>
      <c r="E3" s="57"/>
      <c r="F3" s="58" t="s">
        <v>4</v>
      </c>
      <c r="G3" s="59"/>
      <c r="H3" s="59"/>
      <c r="I3" s="59"/>
      <c r="J3" s="59"/>
      <c r="K3" s="59"/>
      <c r="L3" s="59"/>
      <c r="M3" s="59"/>
      <c r="N3" s="59"/>
      <c r="O3" s="60"/>
      <c r="P3" s="62" t="s">
        <v>105</v>
      </c>
      <c r="Q3" s="62"/>
      <c r="R3" s="62"/>
      <c r="S3" s="58" t="s">
        <v>5</v>
      </c>
      <c r="T3" s="59"/>
      <c r="U3" s="59"/>
      <c r="V3" s="59"/>
      <c r="W3" s="59"/>
      <c r="X3" s="59"/>
      <c r="Y3" s="59"/>
      <c r="Z3" s="59"/>
      <c r="AA3" s="59"/>
      <c r="AB3" s="60"/>
    </row>
    <row r="4" spans="1:34">
      <c r="A4" s="62"/>
      <c r="B4" s="62"/>
      <c r="C4" s="57" t="s">
        <v>100</v>
      </c>
      <c r="D4" s="57"/>
      <c r="E4" s="57"/>
      <c r="F4" s="58" t="s">
        <v>2</v>
      </c>
      <c r="G4" s="59"/>
      <c r="H4" s="59"/>
      <c r="I4" s="59"/>
      <c r="J4" s="59"/>
      <c r="K4" s="59"/>
      <c r="L4" s="59"/>
      <c r="M4" s="59"/>
      <c r="N4" s="59"/>
      <c r="O4" s="60"/>
      <c r="P4" s="62" t="s">
        <v>104</v>
      </c>
      <c r="Q4" s="62"/>
      <c r="R4" s="62"/>
      <c r="S4" s="58" t="s">
        <v>50</v>
      </c>
      <c r="T4" s="59"/>
      <c r="U4" s="59"/>
      <c r="V4" s="59"/>
      <c r="W4" s="59"/>
      <c r="X4" s="59"/>
      <c r="Y4" s="59"/>
      <c r="Z4" s="59"/>
      <c r="AA4" s="59"/>
      <c r="AB4" s="60"/>
    </row>
    <row r="5" spans="1:34">
      <c r="A5" s="61" t="s">
        <v>93</v>
      </c>
      <c r="B5" s="62"/>
      <c r="C5" s="57" t="s">
        <v>101</v>
      </c>
      <c r="D5" s="57"/>
      <c r="E5" s="57"/>
      <c r="F5" s="63" t="str">
        <f>입력!C3</f>
        <v>홍길동</v>
      </c>
      <c r="G5" s="64"/>
      <c r="H5" s="64"/>
      <c r="I5" s="64"/>
      <c r="J5" s="64"/>
      <c r="K5" s="64"/>
      <c r="L5" s="64"/>
      <c r="M5" s="64"/>
      <c r="N5" s="64"/>
      <c r="O5" s="65"/>
      <c r="P5" s="62" t="s">
        <v>6</v>
      </c>
      <c r="Q5" s="62"/>
      <c r="R5" s="62"/>
      <c r="S5" s="63" t="str">
        <f>입력!C5</f>
        <v>990101-1234567</v>
      </c>
      <c r="T5" s="64"/>
      <c r="U5" s="64"/>
      <c r="V5" s="64"/>
      <c r="W5" s="64"/>
      <c r="X5" s="64"/>
      <c r="Y5" s="64"/>
      <c r="Z5" s="64"/>
      <c r="AA5" s="64"/>
      <c r="AB5" s="65"/>
    </row>
    <row r="6" spans="1:34">
      <c r="A6" s="62"/>
      <c r="B6" s="62"/>
      <c r="C6" s="57" t="s">
        <v>102</v>
      </c>
      <c r="D6" s="57"/>
      <c r="E6" s="57"/>
      <c r="F6" s="63" t="str">
        <f>입력!C4</f>
        <v>서울시 중구 중앙로 1길</v>
      </c>
      <c r="G6" s="64"/>
      <c r="H6" s="64"/>
      <c r="I6" s="64"/>
      <c r="J6" s="64"/>
      <c r="K6" s="64"/>
      <c r="L6" s="64"/>
      <c r="M6" s="64"/>
      <c r="N6" s="64"/>
      <c r="O6" s="65"/>
      <c r="P6" s="62" t="s">
        <v>103</v>
      </c>
      <c r="Q6" s="62"/>
      <c r="R6" s="62"/>
      <c r="S6" s="63" t="str">
        <f>입력!C6</f>
        <v>010-9999-9999</v>
      </c>
      <c r="T6" s="64"/>
      <c r="U6" s="64"/>
      <c r="V6" s="64"/>
      <c r="W6" s="64"/>
      <c r="X6" s="64"/>
      <c r="Y6" s="64"/>
      <c r="Z6" s="64"/>
      <c r="AA6" s="64"/>
      <c r="AB6" s="65"/>
    </row>
    <row r="7" spans="1:3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34">
      <c r="A8" s="13" t="s">
        <v>8</v>
      </c>
      <c r="B8" s="1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34">
      <c r="A9" s="2" t="s">
        <v>12</v>
      </c>
      <c r="B9" s="2"/>
      <c r="C9" s="2"/>
      <c r="D9" s="2"/>
      <c r="E9" s="66">
        <f>입력!C7</f>
        <v>45296</v>
      </c>
      <c r="F9" s="66"/>
      <c r="G9" s="4" t="s">
        <v>70</v>
      </c>
      <c r="H9" s="66">
        <f>입력!C8</f>
        <v>45306</v>
      </c>
      <c r="I9" s="66"/>
      <c r="J9" s="2"/>
      <c r="K9" s="2"/>
      <c r="L9" s="2"/>
      <c r="M9" s="2"/>
      <c r="N9" s="2"/>
      <c r="O9" s="2"/>
      <c r="P9" s="2"/>
      <c r="Q9" s="2"/>
    </row>
    <row r="10" spans="1:34">
      <c r="A10" s="46" t="s">
        <v>9</v>
      </c>
      <c r="B10" s="47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7"/>
      <c r="T10" s="47"/>
      <c r="U10" s="47"/>
      <c r="V10" s="47"/>
      <c r="W10" s="47"/>
      <c r="X10" s="48"/>
      <c r="Y10" s="48"/>
      <c r="Z10" s="48"/>
      <c r="AA10" s="48"/>
      <c r="AB10" s="48"/>
    </row>
    <row r="11" spans="1:34">
      <c r="A11" s="49" t="s">
        <v>106</v>
      </c>
      <c r="B11" s="47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7"/>
      <c r="T11" s="47"/>
      <c r="U11" s="47"/>
      <c r="V11" s="47"/>
      <c r="W11" s="47"/>
      <c r="X11" s="48"/>
      <c r="Y11" s="48"/>
      <c r="Z11" s="48"/>
      <c r="AA11" s="48"/>
      <c r="AB11" s="48"/>
      <c r="AE11" s="32" t="s">
        <v>91</v>
      </c>
      <c r="AF11" s="32"/>
      <c r="AG11" s="32"/>
    </row>
    <row r="12" spans="1:34">
      <c r="A12" s="49" t="s">
        <v>10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7"/>
      <c r="T12" s="47"/>
      <c r="U12" s="47"/>
      <c r="V12" s="47"/>
      <c r="W12" s="47"/>
      <c r="X12" s="48"/>
      <c r="Y12" s="48"/>
      <c r="Z12" s="48"/>
      <c r="AA12" s="48"/>
      <c r="AB12" s="48"/>
      <c r="AE12" s="31" t="s">
        <v>87</v>
      </c>
      <c r="AF12" s="31">
        <f>6*0.5*62/72</f>
        <v>2.5833333333333335</v>
      </c>
      <c r="AG12" s="31">
        <f>ROUNDUP(AF12,2)</f>
        <v>2.59</v>
      </c>
      <c r="AH12" s="28"/>
    </row>
    <row r="13" spans="1:34">
      <c r="A13" s="49" t="s">
        <v>11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7"/>
      <c r="T13" s="47"/>
      <c r="U13" s="47"/>
      <c r="V13" s="47"/>
      <c r="W13" s="47"/>
      <c r="X13" s="48"/>
      <c r="Y13" s="48"/>
      <c r="Z13" s="48"/>
      <c r="AA13" s="48"/>
      <c r="AB13" s="48"/>
      <c r="AE13" s="33" t="s">
        <v>88</v>
      </c>
      <c r="AF13" s="33">
        <f>8*0.5*10/72</f>
        <v>0.55555555555555558</v>
      </c>
      <c r="AG13" s="31">
        <f>ROUNDUP(AF13,2)</f>
        <v>0.56000000000000005</v>
      </c>
      <c r="AH13" s="29"/>
    </row>
    <row r="14" spans="1:34">
      <c r="A14" s="46" t="s">
        <v>80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8"/>
      <c r="Y14" s="48"/>
      <c r="Z14" s="48"/>
      <c r="AA14" s="48"/>
      <c r="AB14" s="48"/>
      <c r="AE14" s="33" t="s">
        <v>90</v>
      </c>
      <c r="AF14" s="33">
        <f>8*0.5*10/72</f>
        <v>0.55555555555555558</v>
      </c>
      <c r="AG14" s="31">
        <f>ROUNDUP(AF14,2)</f>
        <v>0.56000000000000005</v>
      </c>
      <c r="AH14" s="29"/>
    </row>
    <row r="15" spans="1:34">
      <c r="A15" s="49" t="s">
        <v>81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8"/>
      <c r="Y15" s="48"/>
      <c r="Z15" s="48"/>
      <c r="AA15" s="48"/>
      <c r="AB15" s="48"/>
      <c r="AE15" s="33" t="s">
        <v>89</v>
      </c>
      <c r="AF15" s="33">
        <f>8*10/72</f>
        <v>1.1111111111111112</v>
      </c>
      <c r="AG15" s="31">
        <f>ROUNDUP(AF15,2)</f>
        <v>1.1200000000000001</v>
      </c>
      <c r="AH15" s="29"/>
    </row>
    <row r="16" spans="1:3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7">
      <c r="A17" s="13" t="s">
        <v>13</v>
      </c>
      <c r="B17" s="1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7">
      <c r="A18" s="2" t="s">
        <v>35</v>
      </c>
      <c r="B18" s="2"/>
      <c r="C18" s="26" t="str">
        <f>입력!C9</f>
        <v>㈜샘플 오피스 인테리어 공사</v>
      </c>
      <c r="D18" s="12"/>
      <c r="E18" s="2"/>
      <c r="F18" s="2"/>
      <c r="G18" s="2"/>
      <c r="H18" s="2"/>
      <c r="I18" s="2"/>
      <c r="J18" s="2"/>
      <c r="K18" s="2"/>
      <c r="L18" s="2"/>
      <c r="M18" s="2" t="s">
        <v>14</v>
      </c>
      <c r="N18" s="2"/>
      <c r="O18" s="26" t="str">
        <f>입력!C10</f>
        <v>설비</v>
      </c>
      <c r="P18" s="14"/>
      <c r="Q18" s="14"/>
      <c r="R18" s="12"/>
      <c r="S18" s="2"/>
      <c r="T18" s="2"/>
      <c r="U18" s="2"/>
      <c r="V18" s="2"/>
      <c r="W18" s="2"/>
    </row>
    <row r="19" spans="1:27">
      <c r="A19" s="39" t="s">
        <v>94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40"/>
      <c r="Y19" s="40"/>
    </row>
    <row r="20" spans="1:27">
      <c r="A20" s="2"/>
      <c r="B20" s="2"/>
      <c r="C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Y20" s="52" t="s">
        <v>45</v>
      </c>
      <c r="Z20" s="52"/>
      <c r="AA20" s="52"/>
    </row>
    <row r="21" spans="1:27">
      <c r="A21" s="13" t="s">
        <v>34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7">
      <c r="A22" s="2" t="s">
        <v>111</v>
      </c>
      <c r="B22" s="2"/>
      <c r="C22" s="2" t="s">
        <v>59</v>
      </c>
      <c r="D22" s="10"/>
      <c r="E22" s="2"/>
      <c r="F22" s="2"/>
      <c r="G22" s="2"/>
      <c r="H22" s="2"/>
      <c r="I22" s="2"/>
      <c r="J22" s="2"/>
      <c r="K22" s="2"/>
      <c r="L22" s="2"/>
      <c r="M22" s="2" t="s">
        <v>33</v>
      </c>
      <c r="N22" s="2"/>
      <c r="O22" s="2" t="s">
        <v>60</v>
      </c>
      <c r="P22" s="14"/>
      <c r="Q22" s="14"/>
      <c r="R22" s="10"/>
      <c r="S22" s="2"/>
      <c r="T22" s="2"/>
      <c r="U22" s="2"/>
      <c r="V22" s="2"/>
      <c r="W22" s="2"/>
      <c r="X22" s="2"/>
    </row>
    <row r="23" spans="1:27">
      <c r="A23" s="2" t="s">
        <v>15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7">
      <c r="A24" s="44" t="s">
        <v>113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7">
      <c r="A26" s="13" t="s">
        <v>16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7">
      <c r="A27" s="2" t="s">
        <v>37</v>
      </c>
      <c r="B27" s="2"/>
      <c r="C27" s="2"/>
      <c r="D27" s="2"/>
      <c r="E27" s="53">
        <f>G38/SUM(J37:X37)</f>
        <v>19485.580670303971</v>
      </c>
      <c r="F27" s="53"/>
      <c r="G27" s="9" t="s">
        <v>38</v>
      </c>
      <c r="H27" s="9"/>
      <c r="I27" s="9"/>
      <c r="J27" s="53">
        <f>J38</f>
        <v>155884.64536243177</v>
      </c>
      <c r="K27" s="53"/>
      <c r="L27" s="9" t="s">
        <v>39</v>
      </c>
      <c r="M27" s="2"/>
      <c r="N27" s="2"/>
      <c r="O27" s="2"/>
      <c r="P27" s="2"/>
      <c r="Q27" s="2"/>
      <c r="R27" s="2"/>
      <c r="S27" s="2"/>
      <c r="U27" s="2"/>
      <c r="V27" s="2"/>
      <c r="W27" s="2"/>
    </row>
    <row r="28" spans="1:27">
      <c r="A28" s="14"/>
      <c r="B28" s="2" t="s">
        <v>40</v>
      </c>
      <c r="C28" s="2"/>
      <c r="D28" s="2"/>
      <c r="E28" s="9"/>
      <c r="F28" s="9"/>
      <c r="G28" s="8"/>
      <c r="H28" s="9"/>
      <c r="I28" s="9"/>
      <c r="J28" s="9"/>
      <c r="K28" s="9"/>
      <c r="L28" s="9"/>
      <c r="M28" s="9" t="s">
        <v>17</v>
      </c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7">
      <c r="A29" s="14"/>
      <c r="B29" s="2" t="s">
        <v>41</v>
      </c>
      <c r="C29" s="2"/>
      <c r="D29" s="2"/>
      <c r="E29" s="9"/>
      <c r="F29" s="9"/>
      <c r="G29" s="8"/>
      <c r="H29" s="9"/>
      <c r="I29" s="9"/>
      <c r="J29" s="9"/>
      <c r="K29" s="9"/>
      <c r="L29" s="9"/>
      <c r="M29" s="9" t="s">
        <v>18</v>
      </c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7">
      <c r="B30" s="2" t="s">
        <v>96</v>
      </c>
      <c r="C30" s="2"/>
      <c r="D30" s="2"/>
      <c r="E30" s="9"/>
      <c r="F30" s="9"/>
      <c r="G30" s="9"/>
      <c r="H30" s="9"/>
      <c r="I30" s="9"/>
      <c r="J30" s="9"/>
      <c r="K30" s="7"/>
      <c r="L30" s="7"/>
      <c r="M30" s="7"/>
      <c r="Q30" s="2"/>
      <c r="R30" s="2"/>
      <c r="S30" s="2"/>
      <c r="T30" s="2"/>
      <c r="U30" s="2"/>
      <c r="V30" s="2"/>
      <c r="W30" s="2"/>
    </row>
    <row r="31" spans="1:27">
      <c r="B31" s="2"/>
      <c r="C31" s="2"/>
      <c r="D31" s="2"/>
      <c r="E31" s="9"/>
      <c r="F31" s="9"/>
      <c r="G31" s="9"/>
      <c r="H31" s="9"/>
      <c r="I31" s="9"/>
      <c r="J31" s="9"/>
      <c r="K31" s="7"/>
      <c r="R31" s="2"/>
      <c r="S31" s="2"/>
      <c r="T31" s="2"/>
      <c r="U31" s="2"/>
      <c r="V31" s="2"/>
      <c r="W31" s="2"/>
      <c r="X31" s="2"/>
    </row>
    <row r="32" spans="1:27">
      <c r="A32" s="2" t="s">
        <v>36</v>
      </c>
      <c r="B32" s="2"/>
      <c r="C32" s="2"/>
      <c r="D32" s="2"/>
      <c r="E32" s="9"/>
      <c r="F32" s="9"/>
      <c r="G32" s="9"/>
      <c r="H32" s="9"/>
      <c r="I32" s="9"/>
      <c r="J32" s="9"/>
      <c r="K32" s="53">
        <f>입력!C11</f>
        <v>250000</v>
      </c>
      <c r="L32" s="53"/>
      <c r="M32" s="2" t="s">
        <v>42</v>
      </c>
      <c r="N32" s="14"/>
      <c r="O32" s="52" t="s">
        <v>45</v>
      </c>
      <c r="P32" s="52"/>
      <c r="Q32" s="52"/>
      <c r="S32" s="2"/>
      <c r="T32" s="2"/>
      <c r="U32" s="2"/>
      <c r="V32" s="2"/>
      <c r="W32" s="2"/>
      <c r="X32" s="2"/>
    </row>
    <row r="33" spans="1:24">
      <c r="A33" s="2" t="s">
        <v>95</v>
      </c>
      <c r="B33" s="2"/>
      <c r="C33" s="2"/>
      <c r="D33" s="2"/>
      <c r="E33" s="9"/>
      <c r="F33" s="9"/>
      <c r="G33" s="9"/>
      <c r="H33" s="9"/>
      <c r="I33" s="9"/>
      <c r="J33" s="9"/>
      <c r="K33" s="9"/>
      <c r="L33" s="9"/>
      <c r="M33" s="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>
      <c r="A34" s="2" t="s">
        <v>48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>
      <c r="A35" s="2" t="s">
        <v>47</v>
      </c>
      <c r="B35" s="2"/>
      <c r="G35" s="2"/>
      <c r="H35" s="2"/>
      <c r="I35" s="6" t="s">
        <v>46</v>
      </c>
      <c r="J35" s="19" t="str">
        <f>입력!C12</f>
        <v>9999-999-999999 샘플은행</v>
      </c>
      <c r="K35" s="19"/>
      <c r="L35" s="19"/>
      <c r="M35" s="19"/>
      <c r="N35" s="19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2" customHeight="1">
      <c r="A36" s="2"/>
      <c r="B36" s="68" t="s">
        <v>43</v>
      </c>
      <c r="C36" s="68"/>
      <c r="D36" s="68"/>
      <c r="E36" s="57" t="s">
        <v>19</v>
      </c>
      <c r="F36" s="57"/>
      <c r="G36" s="57"/>
      <c r="H36" s="57"/>
      <c r="I36" s="57"/>
      <c r="J36" s="58" t="s">
        <v>21</v>
      </c>
      <c r="K36" s="59"/>
      <c r="L36" s="60"/>
      <c r="M36" s="58" t="s">
        <v>22</v>
      </c>
      <c r="N36" s="59"/>
      <c r="O36" s="60"/>
      <c r="P36" s="58" t="s">
        <v>23</v>
      </c>
      <c r="Q36" s="59"/>
      <c r="R36" s="60"/>
      <c r="S36" s="58" t="s">
        <v>24</v>
      </c>
      <c r="T36" s="59"/>
      <c r="U36" s="60"/>
      <c r="V36" s="58" t="s">
        <v>25</v>
      </c>
      <c r="W36" s="59"/>
      <c r="X36" s="60"/>
    </row>
    <row r="37" spans="1:24" ht="12" customHeight="1">
      <c r="A37" s="2"/>
      <c r="B37" s="68"/>
      <c r="C37" s="68"/>
      <c r="D37" s="68"/>
      <c r="E37" s="57" t="s">
        <v>20</v>
      </c>
      <c r="F37" s="57"/>
      <c r="G37" s="57"/>
      <c r="H37" s="57"/>
      <c r="I37" s="57"/>
      <c r="J37" s="54">
        <v>8</v>
      </c>
      <c r="K37" s="55"/>
      <c r="L37" s="56"/>
      <c r="M37" s="54">
        <f>ROUNDUP(8*10/72,2)</f>
        <v>1.1200000000000001</v>
      </c>
      <c r="N37" s="55"/>
      <c r="O37" s="56"/>
      <c r="P37" s="54">
        <f>ROUNDUP(8*0.5*10/72,2)</f>
        <v>0.56000000000000005</v>
      </c>
      <c r="Q37" s="55"/>
      <c r="R37" s="56"/>
      <c r="S37" s="54">
        <f>ROUNDUP(6*0.5*62/72,2)</f>
        <v>2.59</v>
      </c>
      <c r="T37" s="55"/>
      <c r="U37" s="56"/>
      <c r="V37" s="54">
        <f>ROUNDUP(8*0.5*10/72,2)</f>
        <v>0.56000000000000005</v>
      </c>
      <c r="W37" s="55"/>
      <c r="X37" s="56"/>
    </row>
    <row r="38" spans="1:24" ht="12" customHeight="1">
      <c r="A38" s="2"/>
      <c r="B38" s="68"/>
      <c r="C38" s="68"/>
      <c r="D38" s="68"/>
      <c r="E38" s="58" t="s">
        <v>44</v>
      </c>
      <c r="F38" s="60"/>
      <c r="G38" s="72">
        <f>입력!C11</f>
        <v>250000</v>
      </c>
      <c r="H38" s="73"/>
      <c r="I38" s="74"/>
      <c r="J38" s="69">
        <f>E27*J37</f>
        <v>155884.64536243177</v>
      </c>
      <c r="K38" s="70"/>
      <c r="L38" s="71"/>
      <c r="M38" s="69">
        <f>E27*M37</f>
        <v>21823.850350740449</v>
      </c>
      <c r="N38" s="70"/>
      <c r="O38" s="71"/>
      <c r="P38" s="69">
        <f>E27*P37</f>
        <v>10911.925175370225</v>
      </c>
      <c r="Q38" s="70"/>
      <c r="R38" s="71"/>
      <c r="S38" s="69">
        <f>E27*S37</f>
        <v>50467.653936087285</v>
      </c>
      <c r="T38" s="70"/>
      <c r="U38" s="71"/>
      <c r="V38" s="69">
        <f>E27*V37</f>
        <v>10911.925175370225</v>
      </c>
      <c r="W38" s="70"/>
      <c r="X38" s="71"/>
    </row>
    <row r="39" spans="1:24">
      <c r="A39" s="2"/>
      <c r="B39" s="2"/>
      <c r="C39" s="2"/>
      <c r="D39" s="2"/>
      <c r="E39" s="2"/>
      <c r="F39" s="2"/>
      <c r="G39" s="2"/>
      <c r="H39" s="2"/>
      <c r="I39" s="2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1"/>
    </row>
    <row r="40" spans="1:24">
      <c r="A40" s="13" t="s">
        <v>26</v>
      </c>
      <c r="B40" s="2"/>
      <c r="C40" s="2"/>
      <c r="D40" s="2"/>
      <c r="E40" s="2"/>
      <c r="F40" s="2"/>
      <c r="G40" s="2"/>
      <c r="H40" s="2"/>
      <c r="I40" s="2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1"/>
    </row>
    <row r="41" spans="1:24">
      <c r="A41" s="37" t="s">
        <v>27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2"/>
      <c r="W41" s="2"/>
    </row>
    <row r="42" spans="1:24">
      <c r="A42" s="2" t="s">
        <v>28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4">
      <c r="A43" s="42" t="s">
        <v>109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39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4">
      <c r="A44" s="37" t="s">
        <v>107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2"/>
      <c r="W44" s="2"/>
    </row>
    <row r="45" spans="1:24">
      <c r="A45" s="2" t="s">
        <v>29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4">
      <c r="A46" s="2" t="s">
        <v>108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4">
      <c r="A47" s="2" t="s">
        <v>77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4">
      <c r="A48" s="45" t="s">
        <v>112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8">
      <c r="A49" s="44" t="s">
        <v>81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8">
      <c r="A50" s="39" t="s">
        <v>82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40"/>
      <c r="Y50" s="40"/>
      <c r="Z50" s="40"/>
      <c r="AA50" s="40"/>
      <c r="AB50" s="38"/>
    </row>
    <row r="51" spans="1:28">
      <c r="A51" s="39" t="s">
        <v>79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40"/>
      <c r="Y51" s="40"/>
      <c r="Z51" s="40"/>
      <c r="AA51" s="40"/>
      <c r="AB51" s="38"/>
    </row>
    <row r="52" spans="1:2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8">
      <c r="A53" s="13" t="s">
        <v>30</v>
      </c>
      <c r="B53" s="1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8">
      <c r="A54" s="2" t="s">
        <v>73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8">
      <c r="A55" s="2" t="s">
        <v>83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8">
      <c r="A56" s="2" t="s">
        <v>85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8">
      <c r="A57" s="2" t="s">
        <v>84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8">
      <c r="A58" s="2" t="s">
        <v>78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8">
      <c r="A59" s="5" t="s">
        <v>110</v>
      </c>
      <c r="B59" s="2"/>
      <c r="C59" s="14"/>
      <c r="D59" s="14"/>
      <c r="E59" s="14"/>
      <c r="F59" s="14"/>
      <c r="G59" s="2"/>
      <c r="H59" s="14"/>
      <c r="I59" s="14"/>
      <c r="J59" s="1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8">
      <c r="A60" s="50" t="s">
        <v>116</v>
      </c>
      <c r="B60" s="44"/>
      <c r="C60" s="51"/>
      <c r="D60" s="51"/>
      <c r="E60" s="51"/>
      <c r="F60" s="51"/>
      <c r="G60" s="44"/>
      <c r="H60" s="51"/>
      <c r="I60" s="51"/>
      <c r="J60" s="51"/>
      <c r="K60" s="44"/>
      <c r="L60" s="44"/>
      <c r="M60" s="44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8">
      <c r="A61" s="50" t="s">
        <v>117</v>
      </c>
      <c r="B61" s="44"/>
      <c r="C61" s="51"/>
      <c r="D61" s="51"/>
      <c r="E61" s="51"/>
      <c r="F61" s="51"/>
      <c r="G61" s="44"/>
      <c r="H61" s="51"/>
      <c r="I61" s="51"/>
      <c r="J61" s="51"/>
      <c r="K61" s="44"/>
      <c r="L61" s="44"/>
      <c r="M61" s="44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8">
      <c r="A62" s="50" t="s">
        <v>118</v>
      </c>
      <c r="B62" s="44"/>
      <c r="C62" s="51"/>
      <c r="D62" s="51"/>
      <c r="E62" s="51"/>
      <c r="F62" s="51"/>
      <c r="G62" s="44"/>
      <c r="H62" s="51"/>
      <c r="I62" s="51"/>
      <c r="J62" s="51"/>
      <c r="K62" s="44"/>
      <c r="L62" s="44"/>
      <c r="M62" s="44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8">
      <c r="A63" s="50" t="s">
        <v>119</v>
      </c>
      <c r="B63" s="44"/>
      <c r="C63" s="51"/>
      <c r="D63" s="51"/>
      <c r="E63" s="51"/>
      <c r="F63" s="51"/>
      <c r="G63" s="44"/>
      <c r="H63" s="51"/>
      <c r="I63" s="51"/>
      <c r="J63" s="51"/>
      <c r="K63" s="44"/>
      <c r="L63" s="44"/>
      <c r="M63" s="44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8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2"/>
      <c r="W64" s="2"/>
    </row>
    <row r="65" spans="1:28">
      <c r="A65" s="13" t="s">
        <v>31</v>
      </c>
      <c r="B65" s="1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W65" s="2"/>
    </row>
    <row r="66" spans="1:28">
      <c r="A66" s="2" t="s">
        <v>74</v>
      </c>
      <c r="B66" s="1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14"/>
      <c r="V66" s="14"/>
      <c r="W66" s="14"/>
    </row>
    <row r="67" spans="1:28">
      <c r="A67" s="2"/>
      <c r="B67" s="1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8">
      <c r="A68" s="13" t="s">
        <v>72</v>
      </c>
      <c r="B68" s="1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8">
      <c r="A69" s="2" t="s">
        <v>75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8">
      <c r="A70" s="2" t="s">
        <v>76</v>
      </c>
      <c r="B70" s="2"/>
      <c r="C70" s="2"/>
      <c r="D70" s="2"/>
      <c r="E70" s="2"/>
      <c r="F70" s="2"/>
      <c r="G70" s="2"/>
      <c r="H70" s="2"/>
      <c r="I70" s="2"/>
      <c r="J70" s="52" t="s">
        <v>45</v>
      </c>
      <c r="K70" s="52"/>
      <c r="L70" s="5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8">
      <c r="A71" s="2"/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8">
      <c r="A72" s="44" t="s">
        <v>114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4"/>
      <c r="P72" s="14"/>
      <c r="Q72" s="14"/>
      <c r="R72" s="14"/>
      <c r="S72" s="14"/>
      <c r="T72" s="14"/>
      <c r="U72" s="14"/>
      <c r="V72" s="14"/>
      <c r="W72" s="14"/>
    </row>
    <row r="73" spans="1:28">
      <c r="A73" s="44" t="s">
        <v>115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4"/>
      <c r="P73" s="14"/>
      <c r="Q73" s="14"/>
      <c r="R73" s="14"/>
      <c r="S73" s="14"/>
      <c r="T73" s="14"/>
      <c r="U73" s="14"/>
      <c r="V73" s="14"/>
      <c r="W73" s="14"/>
    </row>
    <row r="74" spans="1:28">
      <c r="A74" s="67">
        <f>입력!C13</f>
        <v>45296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</row>
    <row r="75" spans="1:28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 spans="1:28">
      <c r="A76" s="27"/>
      <c r="B76" s="27"/>
      <c r="C76" s="35" t="s">
        <v>97</v>
      </c>
      <c r="D76" s="36"/>
      <c r="E76" s="30"/>
      <c r="F76" s="35" t="s">
        <v>98</v>
      </c>
      <c r="G76" s="36"/>
      <c r="H76" s="36"/>
      <c r="I76" s="27"/>
      <c r="J76" s="27" t="s">
        <v>32</v>
      </c>
      <c r="K76" s="27"/>
      <c r="L76" s="27"/>
      <c r="M76" s="27"/>
      <c r="N76" s="27"/>
      <c r="O76" s="27"/>
      <c r="P76" s="27"/>
      <c r="Q76" s="34"/>
      <c r="R76" s="35" t="s">
        <v>99</v>
      </c>
      <c r="S76" s="36"/>
      <c r="T76" s="36"/>
      <c r="U76" s="52" t="s">
        <v>49</v>
      </c>
      <c r="V76" s="52"/>
      <c r="W76" s="52"/>
      <c r="X76" s="27"/>
      <c r="Y76" s="52" t="s">
        <v>45</v>
      </c>
      <c r="Z76" s="52"/>
      <c r="AA76" s="52"/>
      <c r="AB76" s="27"/>
    </row>
    <row r="77" spans="1:28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34"/>
      <c r="R77" s="34"/>
      <c r="S77" s="27"/>
      <c r="T77" s="14"/>
      <c r="U77" s="34"/>
      <c r="V77" s="27"/>
      <c r="W77" s="27"/>
      <c r="X77" s="27"/>
      <c r="Y77" s="27"/>
      <c r="Z77" s="27"/>
      <c r="AA77" s="27"/>
      <c r="AB77" s="27"/>
    </row>
    <row r="78" spans="1:2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14"/>
      <c r="AB78" s="27"/>
    </row>
    <row r="79" spans="1:28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 spans="1:28">
      <c r="A80" s="14"/>
      <c r="B80" s="14"/>
      <c r="C80" s="14"/>
      <c r="D80" s="14"/>
      <c r="E80" s="5"/>
      <c r="F80" s="5"/>
      <c r="G80" s="2"/>
      <c r="H80" s="2"/>
      <c r="I80" s="5"/>
      <c r="O80" s="14"/>
      <c r="P80" s="14"/>
      <c r="Q80" s="14"/>
      <c r="R80" s="5"/>
      <c r="S80" s="14"/>
      <c r="T80" s="14"/>
      <c r="U80" s="14"/>
      <c r="W80" s="14"/>
    </row>
    <row r="81" spans="1:23">
      <c r="A81" s="2"/>
      <c r="B81" s="2"/>
      <c r="C81" s="2"/>
      <c r="D81" s="2"/>
      <c r="E81" s="2"/>
      <c r="F81" s="2"/>
      <c r="G81" s="2"/>
      <c r="H81" s="2"/>
      <c r="Q81" s="2"/>
      <c r="R81" s="2"/>
      <c r="S81" s="2"/>
      <c r="T81" s="2"/>
      <c r="U81" s="2"/>
      <c r="V81" s="2"/>
      <c r="W81" s="2"/>
    </row>
  </sheetData>
  <mergeCells count="49">
    <mergeCell ref="E9:F9"/>
    <mergeCell ref="H9:I9"/>
    <mergeCell ref="U76:W76"/>
    <mergeCell ref="J70:L70"/>
    <mergeCell ref="A74:AB74"/>
    <mergeCell ref="B36:D38"/>
    <mergeCell ref="P38:R38"/>
    <mergeCell ref="G38:I38"/>
    <mergeCell ref="E38:F38"/>
    <mergeCell ref="J38:L38"/>
    <mergeCell ref="M38:O38"/>
    <mergeCell ref="S38:U38"/>
    <mergeCell ref="V38:X38"/>
    <mergeCell ref="V36:X36"/>
    <mergeCell ref="E37:I37"/>
    <mergeCell ref="J37:L37"/>
    <mergeCell ref="S3:AB3"/>
    <mergeCell ref="S4:AB4"/>
    <mergeCell ref="C6:E6"/>
    <mergeCell ref="P6:R6"/>
    <mergeCell ref="F5:O5"/>
    <mergeCell ref="F6:O6"/>
    <mergeCell ref="S5:AB5"/>
    <mergeCell ref="S6:AB6"/>
    <mergeCell ref="A3:B4"/>
    <mergeCell ref="C3:E3"/>
    <mergeCell ref="P3:R3"/>
    <mergeCell ref="A5:B6"/>
    <mergeCell ref="C5:E5"/>
    <mergeCell ref="P5:R5"/>
    <mergeCell ref="C4:E4"/>
    <mergeCell ref="P4:R4"/>
    <mergeCell ref="F3:O3"/>
    <mergeCell ref="F4:O4"/>
    <mergeCell ref="Y76:AA76"/>
    <mergeCell ref="Y20:AA20"/>
    <mergeCell ref="E27:F27"/>
    <mergeCell ref="J27:K27"/>
    <mergeCell ref="K32:L32"/>
    <mergeCell ref="O32:Q32"/>
    <mergeCell ref="M37:O37"/>
    <mergeCell ref="P37:R37"/>
    <mergeCell ref="S37:U37"/>
    <mergeCell ref="V37:X37"/>
    <mergeCell ref="E36:I36"/>
    <mergeCell ref="J36:L36"/>
    <mergeCell ref="M36:O36"/>
    <mergeCell ref="P36:R36"/>
    <mergeCell ref="S36:U36"/>
  </mergeCells>
  <phoneticPr fontId="2" type="noConversion"/>
  <pageMargins left="0.35" right="0.28000000000000003" top="0.42" bottom="0.38" header="0.3" footer="0.3"/>
  <pageSetup paperSize="9" scale="68" fitToHeight="0" orientation="portrait" r:id="rId1"/>
  <ignoredErrors>
    <ignoredError sqref="S37" 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입력</vt:lpstr>
      <vt:lpstr>계약서</vt:lpstr>
      <vt:lpstr>계약서!Print_Area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김현주 (Hyunjoo Kim)</cp:lastModifiedBy>
  <cp:lastPrinted>2024-06-27T02:47:33Z</cp:lastPrinted>
  <dcterms:created xsi:type="dcterms:W3CDTF">2024-05-29T01:53:49Z</dcterms:created>
  <dcterms:modified xsi:type="dcterms:W3CDTF">2024-07-03T02:41:08Z</dcterms:modified>
</cp:coreProperties>
</file>