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현주(HyunjooKim)\Google Drive 스트리밍\내 드라이브\Fursys\계약서검토\250828_반포효성빌딩 원상회복\"/>
    </mc:Choice>
  </mc:AlternateContent>
  <xr:revisionPtr revIDLastSave="0" documentId="8_{4FA60ED2-F311-44C7-973D-FE9D56B2D2D8}" xr6:coauthVersionLast="36" xr6:coauthVersionMax="36" xr10:uidLastSave="{00000000-0000-0000-0000-000000000000}"/>
  <bookViews>
    <workbookView xWindow="0" yWindow="0" windowWidth="23040" windowHeight="10296" activeTab="2" xr2:uid="{00000000-000D-0000-FFFF-FFFF00000000}"/>
  </bookViews>
  <sheets>
    <sheet name="표지" sheetId="15" r:id="rId1"/>
    <sheet name="계약서" sheetId="11" r:id="rId2"/>
    <sheet name="계약조건" sheetId="14" r:id="rId3"/>
  </sheets>
  <definedNames>
    <definedName name="_xlnm.Print_Area" localSheetId="1">계약서!$A$1:$AF$40</definedName>
    <definedName name="_xlnm.Print_Area" localSheetId="2">계약조건!$A$1:$AF$106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0" i="11" l="1"/>
  <c r="AH12" i="11"/>
  <c r="AH13" i="11" s="1"/>
  <c r="AH19" i="11" l="1"/>
  <c r="J19" i="11" s="1"/>
  <c r="AH20" i="11"/>
  <c r="R4" i="15"/>
  <c r="R3" i="15"/>
  <c r="R2" i="15"/>
  <c r="J20" i="11" l="1"/>
  <c r="J12" i="11"/>
  <c r="J11" i="11"/>
  <c r="J9" i="11"/>
  <c r="T24" i="11" l="1"/>
  <c r="X82" i="14" s="1"/>
  <c r="J7" i="11"/>
  <c r="I7" i="14"/>
  <c r="J10" i="11"/>
  <c r="T30" i="11" l="1"/>
  <c r="T29" i="11"/>
  <c r="T28" i="11"/>
  <c r="T27" i="11"/>
  <c r="J8" i="11" l="1"/>
</calcChain>
</file>

<file path=xl/sharedStrings.xml><?xml version="1.0" encoding="utf-8"?>
<sst xmlns="http://schemas.openxmlformats.org/spreadsheetml/2006/main" count="144" uniqueCount="134">
  <si>
    <t>퍼플식스 스튜디오
www.purple6.studio</t>
    <phoneticPr fontId="1" type="noConversion"/>
  </si>
  <si>
    <t>서울시 송파구 오금로 311, 퍼시스빌딩
meet@purple6.studio</t>
    <phoneticPr fontId="1" type="noConversion"/>
  </si>
  <si>
    <t>Client</t>
    <phoneticPr fontId="1" type="noConversion"/>
  </si>
  <si>
    <t>Project</t>
    <phoneticPr fontId="1" type="noConversion"/>
  </si>
  <si>
    <t>Date</t>
    <phoneticPr fontId="1" type="noConversion"/>
  </si>
  <si>
    <t>공사 도급 계약서</t>
    <phoneticPr fontId="1" type="noConversion"/>
  </si>
  <si>
    <t>1.</t>
    <phoneticPr fontId="1" type="noConversion"/>
  </si>
  <si>
    <t>2.</t>
  </si>
  <si>
    <t>3.</t>
  </si>
  <si>
    <t>4.</t>
  </si>
  <si>
    <t>5.</t>
  </si>
  <si>
    <t>6.</t>
  </si>
  <si>
    <t>7.</t>
  </si>
  <si>
    <t>8.</t>
  </si>
  <si>
    <t>9.</t>
  </si>
  <si>
    <t>공사명</t>
    <phoneticPr fontId="1" type="noConversion"/>
  </si>
  <si>
    <t>공사장소</t>
    <phoneticPr fontId="1" type="noConversion"/>
  </si>
  <si>
    <t>공사기간</t>
    <phoneticPr fontId="1" type="noConversion"/>
  </si>
  <si>
    <t>총계약금액</t>
    <phoneticPr fontId="1" type="noConversion"/>
  </si>
  <si>
    <t>공급가액</t>
    <phoneticPr fontId="1" type="noConversion"/>
  </si>
  <si>
    <t>부가세액</t>
    <phoneticPr fontId="1" type="noConversion"/>
  </si>
  <si>
    <t>계약보증금</t>
    <phoneticPr fontId="1" type="noConversion"/>
  </si>
  <si>
    <t>하자보수보증금</t>
    <phoneticPr fontId="1" type="noConversion"/>
  </si>
  <si>
    <t>하자담보책임기간</t>
    <phoneticPr fontId="1" type="noConversion"/>
  </si>
  <si>
    <t>지체상금율</t>
    <phoneticPr fontId="1" type="noConversion"/>
  </si>
  <si>
    <t>대금지불</t>
    <phoneticPr fontId="1" type="noConversion"/>
  </si>
  <si>
    <t>제10조 [재해발생 등 사고책임]</t>
    <phoneticPr fontId="1" type="noConversion"/>
  </si>
  <si>
    <t>도급계약금액의 5% (계약이행증권 대체)</t>
    <phoneticPr fontId="1" type="noConversion"/>
  </si>
  <si>
    <t>도급계약금액의 10% (하자이행증권 대체)</t>
    <phoneticPr fontId="1" type="noConversion"/>
  </si>
  <si>
    <t>1日마다 도급금액의 3/1000</t>
    <phoneticPr fontId="1" type="noConversion"/>
  </si>
  <si>
    <t>지급방법 - 수급사의 지정된 계좌로 현금지급/부가세 포함</t>
    <phoneticPr fontId="1" type="noConversion"/>
  </si>
  <si>
    <t>공사비는 "수급사"의 청구에 의하여 다음과 같이 지불하기로 한다.</t>
    <phoneticPr fontId="1" type="noConversion"/>
  </si>
  <si>
    <t>상기 인테리어 공사에 관해 당사자는 위 내용과 별첨 인테리어 계약조건에 의하여</t>
  </si>
  <si>
    <t>인테리어 계약을 체결하고 계약서 2통을 작성하여 각각 1통씩 보관한다.</t>
  </si>
  <si>
    <t>계약주체</t>
    <phoneticPr fontId="1" type="noConversion"/>
  </si>
  <si>
    <t>도급사</t>
    <phoneticPr fontId="1" type="noConversion"/>
  </si>
  <si>
    <t>주소</t>
    <phoneticPr fontId="1" type="noConversion"/>
  </si>
  <si>
    <t>상호</t>
    <phoneticPr fontId="1" type="noConversion"/>
  </si>
  <si>
    <t>사업자등록번호</t>
    <phoneticPr fontId="1" type="noConversion"/>
  </si>
  <si>
    <t>대표자명</t>
    <phoneticPr fontId="1" type="noConversion"/>
  </si>
  <si>
    <t>(인)</t>
    <phoneticPr fontId="1" type="noConversion"/>
  </si>
  <si>
    <t>수급사</t>
    <phoneticPr fontId="1" type="noConversion"/>
  </si>
  <si>
    <t>서울특별시 송파구 오금로 311 퍼시스빌딩</t>
    <phoneticPr fontId="1" type="noConversion"/>
  </si>
  <si>
    <t>215-81-20584</t>
    <phoneticPr fontId="1" type="noConversion"/>
  </si>
  <si>
    <t>박 광 호</t>
    <phoneticPr fontId="1" type="noConversion"/>
  </si>
  <si>
    <t>제1조 [총 칙]</t>
  </si>
  <si>
    <t>제2조 [계약서의 구성]</t>
  </si>
  <si>
    <t>제3조 [현장대리인]</t>
  </si>
  <si>
    <t>제4조 [설계변경]</t>
  </si>
  <si>
    <t>제5조 [공사기간의 연장]</t>
  </si>
  <si>
    <t>제6조 [부적합한 공사]</t>
  </si>
  <si>
    <t>제7조 [지체상금]</t>
  </si>
  <si>
    <t>제8조 [하자보증]</t>
  </si>
  <si>
    <t>제9조 [제3자의 권리]</t>
  </si>
  <si>
    <t>제11조 [권리양도]</t>
  </si>
  <si>
    <t>제12조 [공사 특기 사항]</t>
  </si>
  <si>
    <t>제13조 [합의관할]</t>
  </si>
  <si>
    <t>본 공사계약서에 의거 상호 협조하여 각 조항을 신의 성실로써 이행한다.</t>
  </si>
  <si>
    <t>본 공사 계약의 내용이 되는 계약 문서는 본 계약서, 공사내역서, 기타 부수되는 서류 일절 및</t>
  </si>
  <si>
    <t>"도급사", "수급사"가 합의한 일절의 문서 등으로 구성되며 상호 보완적 효력을 가진다.</t>
  </si>
  <si>
    <t>① "수급사"는 착공 전에 현장 대리인을 임명하여 이를 "도급사"에게 통지하여야 한다.</t>
  </si>
  <si>
    <t>② 현장 대리인은 공사 현장에 상주하여야 하며, 시공에 관한 일절의 사항에 대하여 "수급사"를 대표한다.</t>
  </si>
  <si>
    <t>① "도급사"의 필요에 의하여 설계 변경사항이 발생한 때에는 "도급사"는 사전에 "수급사"에게 통보하며,</t>
  </si>
  <si>
    <t>상호 협의 후 "수급사"는 이에 따라 공사를 시행한다.</t>
  </si>
  <si>
    <t xml:space="preserve">②  제 ①항에 의하여 도급금액을 변경할 필요가 있을 때에는 계약시 "도급사", "수급사"가 서로 합의한 </t>
  </si>
  <si>
    <t xml:space="preserve">내역서상의 단가에 의하여 그 금액을 정한다. </t>
  </si>
  <si>
    <t>단, 내역서상에 명시되지 아니한 사항은 "도급사", "수급사" 쌍방의 합의에 의한다.</t>
  </si>
  <si>
    <t>① "도급사"의 책임있는 사유 또는 천재지변, 불가항력의 사태 등 "수급사"의 책임이 아닌 사유로 공사 수행에</t>
  </si>
  <si>
    <t>지체되는 경우에는 당사자간 협의하여 공사기간을 연장할 수 있다.</t>
  </si>
  <si>
    <t xml:space="preserve">② 제 ①항의 규정에 의거 공사 기간이 연장되는 경우 이에 따르는 현장관리비 등 추가 경비를 "수급사"는 </t>
  </si>
  <si>
    <t>"도급사"에게 신청할 수 있다.</t>
  </si>
  <si>
    <t xml:space="preserve">① "도급사"는 "수급사"가 시공한 공사중 설계 도면에 적합하지 아니한 부분이 있을 때에는 이의 시정을 </t>
  </si>
  <si>
    <t xml:space="preserve">② 제 ①항의 경우 설계 도면에 적합하지 아니한 공사가 "도급사"의 요구 또는 지시에 의하거나 </t>
  </si>
  <si>
    <t>① "수급사"는 공사가 지체되어 계약기간 내에 공사가 완료되지 못한 때에는 1日마다 도급금액의</t>
  </si>
  <si>
    <t>3/1000 의 지체상금을 공사 완료일 기준으로 계상하여 공사 잔금에서 공제하여 지급한다.</t>
  </si>
  <si>
    <t>② 제 ①항의 경우 정당한 이유가 있을 시  "도급사"는 지체상금을 면제할 수 있다.</t>
  </si>
  <si>
    <t>본 공사의 시공 중 특허권, 기타 제 3자의 권리 대상으로 되어 있는 시공방법을 사용한 때에는</t>
  </si>
  <si>
    <t xml:space="preserve">"수급사"는 그 사용에 관한 일절의 책임을 진다. 단, "도급사"의 지시에 의해 시공방법을 결정한 경우는 </t>
  </si>
  <si>
    <t>"도급사"에게 제 3자의 권리 대상으로 되어 있는 시공방법에 관련하여 고지해야하며,</t>
  </si>
  <si>
    <t>그럼에도 불구하고 "도급사"가 지시할 경우는 "도급사"가 책임진다.</t>
  </si>
  <si>
    <t>① "수급사"의 책임으로 발생되는 모든 사고는 "수급사"의 책임하에 처리한다.</t>
  </si>
  <si>
    <t>② 본 계약으로 인한 모든 공사중 "수급사"의 귀책사유로 발생한 재해 등 책임에 대해서는</t>
  </si>
  <si>
    <t>"수급사"의 책임으로 하며, 조속히 해결하여 "도급사" 에게 하등의 민,형사상의 피해가 없도록 한다.</t>
  </si>
  <si>
    <t>"수급사"는 본 계약에 관한 채권을 제3자에게 양도할 수 없다.</t>
  </si>
  <si>
    <t>① 본 공사에 사용하는 모든 자재는 KS품을 사용하여야 하고 "수급사"는 자재 사용전에 "도급사"의 검사를</t>
  </si>
  <si>
    <t>받아 합격된 자재만을 사용하여야한다.</t>
  </si>
  <si>
    <t>② "도급사"는 "수급사"가 설계업무를 수행하는데 필요한 다음 각호의 자료 또는 제반사항을 요구할 때에는</t>
  </si>
  <si>
    <t xml:space="preserve">즉시 제공하여야 한다. </t>
  </si>
  <si>
    <t>1. 설계업무에 필요한 제반자료</t>
  </si>
  <si>
    <t>2. 각종 관련도면(건축, 설비, 전기, 조경)</t>
  </si>
  <si>
    <t>3. 기타 안전을 위해 필요한 조치</t>
  </si>
  <si>
    <t>③ 설계도서 및 각종 디자인의 저작권은 "도급사"에게 귀속되며 "도급사"는 이를 본 계약 외의 목적으로</t>
  </si>
  <si>
    <t>사용할 수 없다.</t>
  </si>
  <si>
    <t>④ "수급사"가 관할하는 공사장내의 안전사고 예방을 위해 "수급사"는 관련 법령에서 정하는 안전조치의무를</t>
  </si>
  <si>
    <t>다하여야 하고 "수급사"의 귀책사유로 발생한 사고에 대하여 "수급사"는 모든 손해를 배상하여야 한다.</t>
  </si>
  <si>
    <t>"도급사"는 "수급사"의 안전조치 의무의 이행을 위하여 필요한 사항에 적극 협조하여야 한다.</t>
  </si>
  <si>
    <t>⑤ "수급사"는 공사작업 도중 발생하는 산업재해 보험처리는 법률이 정하는 바에 따라 처리한다.</t>
  </si>
  <si>
    <t>경우 기 시공된 비용에 대하여 "수급사"에게 정산한다.)</t>
  </si>
  <si>
    <t>⑦ "수급사"는 본 공사를 숙련된 기술자로 하여금 시공케하고 "도급사"의 지시에 따라 관련 시방사항을</t>
  </si>
  <si>
    <t xml:space="preserve">준수하여야 한다. </t>
  </si>
  <si>
    <t xml:space="preserve">폐기물처리에 소요되는 비용을 부담하여야한다. </t>
  </si>
  <si>
    <t xml:space="preserve">⑨ "수급사"는 본 계약의 결과물 자체의 하자 및 설치, 시공상의 하자 등 "수급사"의 귀책으로 인하여 </t>
  </si>
  <si>
    <t>제3자가 "도급사"에게 제기한 청구 및 소송 건에서 자신의 책임과 노력으로 "도급사"를 면책시켜야 한다.</t>
  </si>
  <si>
    <t>본 계약에 관한 소송 관할은 "도급사"의 주소지 관할 법원으로 한다.</t>
  </si>
  <si>
    <t>(단, A/S발생 시 A/S 처리 기간을 요청 날짜로부터 2개월 이내에 미처리시 하자보증금을 보험사에</t>
  </si>
  <si>
    <t>청구하여 하자보수를 진행하기로 함.)</t>
  </si>
  <si>
    <t>▼ 여기에 계약서에 채울 내용을 입력해 주세요.</t>
    <phoneticPr fontId="1" type="noConversion"/>
  </si>
  <si>
    <t>공사 도급 계약조건</t>
    <phoneticPr fontId="1" type="noConversion"/>
  </si>
  <si>
    <t>Note</t>
    <phoneticPr fontId="1" type="noConversion"/>
  </si>
  <si>
    <t>(잔금은 공사완료 및 "도급사"의 검수 완료 후 익월 말까지 지급함)</t>
  </si>
  <si>
    <t xml:space="preserve">기타 "수급사"의 책임으로 돌릴 수 없는 사유로 인할 때에는 "수급사"는  그 책임을 지지 아니한다. </t>
    <phoneticPr fontId="1" type="noConversion"/>
  </si>
  <si>
    <t>요구할 수 있다.</t>
    <phoneticPr fontId="1" type="noConversion"/>
  </si>
  <si>
    <t>내용</t>
    <phoneticPr fontId="1" type="noConversion"/>
  </si>
  <si>
    <t xml:space="preserve">⑧ "수급사" 는 인테리어 공사에서 발생한 폐기물을 관계법령에 의거 처리하여야 하며, </t>
    <phoneticPr fontId="1" type="noConversion"/>
  </si>
  <si>
    <t xml:space="preserve">   (단, 도급사가 제공한 설계도서의 설계상결함은 "도급사"가 책임을 지고, "도급사"의 귀책으로 공사를 중단하는</t>
    <phoneticPr fontId="1" type="noConversion"/>
  </si>
  <si>
    <t>㈜퍼시스</t>
    <phoneticPr fontId="1" type="noConversion"/>
  </si>
  <si>
    <t>준공 완료일로부터 2년</t>
    <phoneticPr fontId="1" type="noConversion"/>
  </si>
  <si>
    <t xml:space="preserve">* 첨부 : 견적내역서 1부 </t>
    <phoneticPr fontId="1" type="noConversion"/>
  </si>
  <si>
    <t>공사의 하자 보증기간은 준공 완료일로부터 2년으로 한다.</t>
    <phoneticPr fontId="1" type="noConversion"/>
  </si>
  <si>
    <t>합</t>
    <phoneticPr fontId="1" type="noConversion"/>
  </si>
  <si>
    <t>2025-08-00</t>
    <phoneticPr fontId="1" type="noConversion"/>
  </si>
  <si>
    <t>서울 마포구 마포대로 155(공덕동,LD마포빌딩) 16층, 17층</t>
    <phoneticPr fontId="1" type="noConversion"/>
  </si>
  <si>
    <t>주식회사 에이치에스애드</t>
    <phoneticPr fontId="1" type="noConversion"/>
  </si>
  <si>
    <t>105-81-29368</t>
    <phoneticPr fontId="1" type="noConversion"/>
  </si>
  <si>
    <t>박 애 리</t>
    <phoneticPr fontId="1" type="noConversion"/>
  </si>
  <si>
    <t>HSAD 반포효성빌딩 16층 원상복구 인테리어 공사</t>
    <phoneticPr fontId="1" type="noConversion"/>
  </si>
  <si>
    <t>서울 서초구 반포대로 235 반포효성빌딩 16층</t>
    <phoneticPr fontId="1" type="noConversion"/>
  </si>
  <si>
    <t>③</t>
    <phoneticPr fontId="1" type="noConversion"/>
  </si>
  <si>
    <t>제13조 [공사의 완료]</t>
    <phoneticPr fontId="1" type="noConversion"/>
  </si>
  <si>
    <t>본 공사는 건물소유자인 "신동진(주)"이 발급한 원상복구 완료 확인서를 "수급사"에 제출함으로써 완료된 것으로 본다.</t>
    <phoneticPr fontId="1" type="noConversion"/>
  </si>
  <si>
    <r>
      <t xml:space="preserve">⑥ "도급사"는 "수급사"가 시공하는 공사가 조건에 적합하지 못하다고 판단될 경우 "수급사"에게 </t>
    </r>
    <r>
      <rPr>
        <sz val="7"/>
        <color rgb="FF0000FF"/>
        <rFont val="맑은 고딕"/>
        <family val="3"/>
        <charset val="129"/>
        <scheme val="major"/>
      </rPr>
      <t xml:space="preserve">수정을 요청할 수 있고 </t>
    </r>
    <phoneticPr fontId="1" type="noConversion"/>
  </si>
  <si>
    <r>
      <rPr>
        <sz val="7"/>
        <color rgb="FF0000FF"/>
        <rFont val="맑은 고딕"/>
        <family val="3"/>
        <charset val="129"/>
        <scheme val="major"/>
      </rPr>
      <t>"수급사"가 합리적 기간 내에 수정을 하지 아니하면 계약을 해지할 수 있고</t>
    </r>
    <r>
      <rPr>
        <sz val="7"/>
        <color theme="1"/>
        <rFont val="맑은 고딕"/>
        <family val="3"/>
        <charset val="129"/>
        <scheme val="major"/>
      </rPr>
      <t>, 이로인한 재반손해 사항은 "수급사"가 전적인 배상책임을 진다.</t>
    </r>
    <phoneticPr fontId="1" type="noConversion"/>
  </si>
  <si>
    <r>
      <t xml:space="preserve"> 이에 따른 모든 비용은 전적으로 </t>
    </r>
    <r>
      <rPr>
        <sz val="7"/>
        <color rgb="FF0000FF"/>
        <rFont val="맑은 고딕"/>
        <family val="3"/>
        <charset val="129"/>
        <scheme val="major"/>
      </rPr>
      <t>"수급사"</t>
    </r>
    <r>
      <rPr>
        <sz val="7"/>
        <color rgb="FFFF0000"/>
        <rFont val="맑은 고딕"/>
        <family val="3"/>
        <charset val="129"/>
        <scheme val="major"/>
      </rPr>
      <t>가 부담한다.</t>
    </r>
    <phoneticPr fontId="1" type="noConversion"/>
  </si>
  <si>
    <r>
      <rPr>
        <sz val="7"/>
        <color rgb="FF0000FF"/>
        <rFont val="맑은 고딕"/>
        <family val="3"/>
        <charset val="129"/>
        <scheme val="minor"/>
      </rPr>
      <t xml:space="preserve">"수급사"의 귀책사유로 </t>
    </r>
    <r>
      <rPr>
        <sz val="7"/>
        <color rgb="FFFF0000"/>
        <rFont val="맑은 고딕"/>
        <family val="2"/>
        <charset val="129"/>
        <scheme val="minor"/>
      </rPr>
      <t xml:space="preserve">공사기간이 연장되고, 그로 인해 </t>
    </r>
    <r>
      <rPr>
        <sz val="7"/>
        <color rgb="FF0000FF"/>
        <rFont val="맑은 고딕"/>
        <family val="3"/>
        <charset val="129"/>
        <scheme val="minor"/>
      </rPr>
      <t>"도급인"의</t>
    </r>
    <r>
      <rPr>
        <sz val="7"/>
        <color rgb="FFFF0000"/>
        <rFont val="맑은 고딕"/>
        <family val="2"/>
        <charset val="129"/>
        <scheme val="minor"/>
      </rPr>
      <t xml:space="preserve"> 임대차계약 위반이 발생할 경우,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</si>
</sst>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.0%"/>
    <numFmt numFmtId="177" formatCode="yyyy&quot;년&quot;\ m&quot;월&quot;\ d&quot;일&quot;;@"/>
    <numFmt numFmtId="178" formatCode="yyyy\.\ mm\.\ dd\."/>
    <numFmt numFmtId="179" formatCode="&quot;계&quot;&quot;약&quot;&quot;체&quot;&quot;결&quot;&quot;일&quot;\ \:\ yyyy&quot;년&quot;\ mm&quot;월&quot;\ dd&quot;일&quot;"/>
    <numFmt numFmtId="180" formatCode="yyyy&quot;년&quot;\ mm&quot;월&quot;\ dd&quot;일&quot;;@"/>
    <numFmt numFmtId="181" formatCode="#,##0_ 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7.5"/>
      <color rgb="FF00000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7.5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7.5"/>
      <color theme="1"/>
      <name val="맑은 고딕"/>
      <family val="3"/>
      <charset val="129"/>
      <scheme val="major"/>
    </font>
    <font>
      <sz val="7.5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sz val="7"/>
      <color rgb="FFFF0000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ajor"/>
    </font>
    <font>
      <sz val="7"/>
      <color rgb="FFFF0000"/>
      <name val="맑은 고딕"/>
      <family val="3"/>
      <charset val="129"/>
      <scheme val="minor"/>
    </font>
    <font>
      <sz val="7"/>
      <color rgb="FF0000FF"/>
      <name val="맑은 고딕"/>
      <family val="3"/>
      <charset val="129"/>
      <scheme val="major"/>
    </font>
    <font>
      <sz val="7"/>
      <color rgb="FF0000F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/>
  </cellStyleXfs>
  <cellXfs count="8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41" fontId="7" fillId="0" borderId="0" xfId="1" applyFont="1" applyFill="1" applyBorder="1" applyAlignment="1">
      <alignment vertical="center"/>
    </xf>
    <xf numFmtId="176" fontId="7" fillId="0" borderId="0" xfId="3" applyNumberFormat="1" applyFont="1" applyFill="1" applyBorder="1" applyAlignment="1">
      <alignment vertical="center"/>
    </xf>
    <xf numFmtId="176" fontId="8" fillId="0" borderId="0" xfId="2" applyNumberFormat="1" applyFont="1">
      <alignment vertical="center"/>
    </xf>
    <xf numFmtId="0" fontId="8" fillId="0" borderId="0" xfId="2" applyFont="1">
      <alignment vertical="center"/>
    </xf>
    <xf numFmtId="0" fontId="10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right" vertical="center"/>
    </xf>
    <xf numFmtId="0" fontId="13" fillId="0" borderId="0" xfId="4" applyFont="1" applyAlignme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177" fontId="15" fillId="0" borderId="0" xfId="0" applyNumberFormat="1" applyFont="1" applyAlignment="1">
      <alignment horizontal="right" vertical="center"/>
    </xf>
    <xf numFmtId="0" fontId="9" fillId="0" borderId="0" xfId="0" applyFont="1">
      <alignment vertical="center"/>
    </xf>
    <xf numFmtId="0" fontId="16" fillId="0" borderId="0" xfId="0" applyFont="1">
      <alignment vertical="center"/>
    </xf>
    <xf numFmtId="0" fontId="11" fillId="0" borderId="0" xfId="0" quotePrefix="1" applyFont="1" applyAlignment="1">
      <alignment horizontal="left" vertical="center"/>
    </xf>
    <xf numFmtId="0" fontId="11" fillId="0" borderId="0" xfId="0" applyFont="1">
      <alignment vertical="center"/>
    </xf>
    <xf numFmtId="0" fontId="17" fillId="0" borderId="0" xfId="4" applyFont="1" applyAlignment="1">
      <alignment vertical="center"/>
    </xf>
    <xf numFmtId="0" fontId="17" fillId="0" borderId="0" xfId="4" applyFont="1" applyAlignment="1">
      <alignment horizontal="left" vertical="center" indent="1"/>
    </xf>
    <xf numFmtId="0" fontId="17" fillId="0" borderId="0" xfId="4" applyFont="1" applyAlignment="1">
      <alignment horizontal="left" vertical="center" indent="3"/>
    </xf>
    <xf numFmtId="0" fontId="14" fillId="0" borderId="0" xfId="0" applyFont="1" applyAlignment="1">
      <alignment horizontal="left" vertical="center"/>
    </xf>
    <xf numFmtId="0" fontId="18" fillId="0" borderId="0" xfId="4" applyFont="1" applyAlignment="1">
      <alignment vertical="center"/>
    </xf>
    <xf numFmtId="41" fontId="14" fillId="0" borderId="3" xfId="1" applyFont="1" applyBorder="1" applyAlignment="1">
      <alignment horizontal="left" vertical="center"/>
    </xf>
    <xf numFmtId="0" fontId="7" fillId="0" borderId="0" xfId="0" applyFont="1" applyAlignment="1">
      <alignment vertical="top"/>
    </xf>
    <xf numFmtId="0" fontId="7" fillId="0" borderId="0" xfId="0" quotePrefix="1" applyFont="1" applyAlignment="1">
      <alignment vertical="top" wrapText="1"/>
    </xf>
    <xf numFmtId="179" fontId="13" fillId="0" borderId="0" xfId="4" applyNumberFormat="1" applyFont="1" applyAlignment="1">
      <alignment vertical="center"/>
    </xf>
    <xf numFmtId="0" fontId="2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7" fillId="0" borderId="5" xfId="0" applyFont="1" applyBorder="1">
      <alignment vertical="center"/>
    </xf>
    <xf numFmtId="41" fontId="7" fillId="0" borderId="5" xfId="1" applyFont="1" applyFill="1" applyBorder="1" applyAlignment="1">
      <alignment vertical="center"/>
    </xf>
    <xf numFmtId="176" fontId="7" fillId="0" borderId="5" xfId="3" applyNumberFormat="1" applyFont="1" applyFill="1" applyBorder="1" applyAlignment="1">
      <alignment vertical="center"/>
    </xf>
    <xf numFmtId="41" fontId="7" fillId="0" borderId="5" xfId="1" applyFont="1" applyFill="1" applyBorder="1" applyAlignment="1">
      <alignment horizontal="left"/>
    </xf>
    <xf numFmtId="0" fontId="11" fillId="0" borderId="5" xfId="0" applyFont="1" applyBorder="1">
      <alignment vertical="center"/>
    </xf>
    <xf numFmtId="0" fontId="11" fillId="0" borderId="5" xfId="0" applyFont="1" applyBorder="1" applyAlignment="1">
      <alignment vertical="center" wrapText="1"/>
    </xf>
    <xf numFmtId="0" fontId="7" fillId="0" borderId="6" xfId="0" applyFont="1" applyBorder="1">
      <alignment vertical="center"/>
    </xf>
    <xf numFmtId="0" fontId="13" fillId="0" borderId="6" xfId="4" applyFont="1" applyBorder="1" applyAlignment="1">
      <alignment vertical="center"/>
    </xf>
    <xf numFmtId="0" fontId="13" fillId="0" borderId="5" xfId="4" applyFont="1" applyBorder="1" applyAlignment="1">
      <alignment vertical="center"/>
    </xf>
    <xf numFmtId="0" fontId="13" fillId="0" borderId="0" xfId="4" applyFont="1" applyAlignment="1">
      <alignment horizontal="left" vertical="center"/>
    </xf>
    <xf numFmtId="14" fontId="14" fillId="0" borderId="7" xfId="0" quotePrefix="1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81" fontId="14" fillId="0" borderId="1" xfId="1" applyNumberFormat="1" applyFont="1" applyBorder="1" applyAlignment="1">
      <alignment horizontal="left" vertical="center"/>
    </xf>
    <xf numFmtId="14" fontId="14" fillId="0" borderId="1" xfId="1" applyNumberFormat="1" applyFont="1" applyBorder="1" applyAlignment="1">
      <alignment horizontal="left" vertical="center"/>
    </xf>
    <xf numFmtId="179" fontId="13" fillId="0" borderId="0" xfId="4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4" fontId="14" fillId="0" borderId="0" xfId="0" quotePrefix="1" applyNumberFormat="1" applyFont="1" applyAlignment="1">
      <alignment vertical="center"/>
    </xf>
    <xf numFmtId="0" fontId="17" fillId="0" borderId="0" xfId="4" applyFont="1" applyAlignment="1">
      <alignment horizontal="left" vertical="center"/>
    </xf>
    <xf numFmtId="9" fontId="14" fillId="0" borderId="0" xfId="0" applyNumberFormat="1" applyFont="1" applyAlignment="1">
      <alignment vertical="center"/>
    </xf>
    <xf numFmtId="181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41" fontId="14" fillId="0" borderId="1" xfId="1" applyFont="1" applyBorder="1" applyAlignment="1">
      <alignment horizontal="left" vertical="center"/>
    </xf>
    <xf numFmtId="41" fontId="14" fillId="0" borderId="1" xfId="1" applyFont="1" applyBorder="1" applyAlignment="1">
      <alignment horizontal="center" vertical="center"/>
    </xf>
    <xf numFmtId="0" fontId="21" fillId="0" borderId="0" xfId="4" applyFont="1" applyAlignment="1">
      <alignment vertical="center"/>
    </xf>
    <xf numFmtId="0" fontId="22" fillId="0" borderId="0" xfId="0" applyFont="1">
      <alignment vertical="center"/>
    </xf>
    <xf numFmtId="0" fontId="11" fillId="0" borderId="5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178" fontId="7" fillId="0" borderId="0" xfId="0" applyNumberFormat="1" applyFont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176" fontId="7" fillId="0" borderId="5" xfId="3" applyNumberFormat="1" applyFont="1" applyFill="1" applyBorder="1" applyAlignment="1"/>
    <xf numFmtId="0" fontId="7" fillId="0" borderId="5" xfId="0" applyFont="1" applyBorder="1" applyAlignment="1"/>
    <xf numFmtId="0" fontId="7" fillId="0" borderId="0" xfId="0" applyFont="1" applyAlignment="1"/>
    <xf numFmtId="0" fontId="13" fillId="0" borderId="0" xfId="4" applyFont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3" fillId="0" borderId="0" xfId="4" applyFont="1" applyAlignment="1">
      <alignment horizontal="left" vertical="center" wrapText="1"/>
    </xf>
    <xf numFmtId="0" fontId="7" fillId="0" borderId="5" xfId="0" quotePrefix="1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19" fillId="0" borderId="0" xfId="4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179" fontId="13" fillId="0" borderId="0" xfId="4" applyNumberFormat="1" applyFont="1" applyAlignment="1">
      <alignment horizontal="right" vertical="center"/>
    </xf>
    <xf numFmtId="0" fontId="13" fillId="0" borderId="6" xfId="4" applyFont="1" applyBorder="1" applyAlignment="1">
      <alignment horizontal="left" vertical="center" indent="3"/>
    </xf>
    <xf numFmtId="0" fontId="13" fillId="0" borderId="5" xfId="4" applyFont="1" applyBorder="1" applyAlignment="1">
      <alignment horizontal="left" vertical="center"/>
    </xf>
    <xf numFmtId="180" fontId="13" fillId="0" borderId="0" xfId="4" applyNumberFormat="1" applyFont="1" applyAlignment="1">
      <alignment horizontal="right" vertical="center"/>
    </xf>
  </cellXfs>
  <cellStyles count="5">
    <cellStyle name="백분율" xfId="3" builtinId="5"/>
    <cellStyle name="쉼표 [0]" xfId="1" builtinId="6"/>
    <cellStyle name="표준" xfId="0" builtinId="0"/>
    <cellStyle name="표준 2" xfId="2" xr:uid="{00000000-0005-0000-0000-000003000000}"/>
    <cellStyle name="표준_중경성상성 디자인설계 견적제안서 2차" xfId="4" xr:uid="{00000000-0005-0000-0000-000004000000}"/>
  </cellStyles>
  <dxfs count="7">
    <dxf>
      <font>
        <color rgb="FF9FA1A0"/>
      </font>
    </dxf>
    <dxf>
      <font>
        <color rgb="FF9FA1A0"/>
      </font>
    </dxf>
    <dxf>
      <font>
        <color rgb="FF9FA1A0"/>
      </font>
    </dxf>
    <dxf>
      <font>
        <color rgb="FF9FA1A0"/>
      </font>
    </dxf>
    <dxf>
      <font>
        <color rgb="FF9FA1A0"/>
      </font>
    </dxf>
    <dxf>
      <font>
        <color rgb="FF9FA1A0"/>
      </font>
    </dxf>
    <dxf>
      <font>
        <color rgb="FF9FA1A0"/>
      </font>
    </dxf>
  </dxfs>
  <tableStyles count="0" defaultTableStyle="TableStyleMedium2" defaultPivotStyle="PivotStyleLight16"/>
  <colors>
    <mruColors>
      <color rgb="FF0000FF"/>
      <color rgb="FF9FA1A0"/>
      <color rgb="FFDBD0FC"/>
      <color rgb="FFE4E4E5"/>
      <color rgb="FFF7D4CB"/>
      <color rgb="FFB8A2F9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17318</xdr:colOff>
      <xdr:row>39</xdr:row>
      <xdr:rowOff>128153</xdr:rowOff>
    </xdr:from>
    <xdr:to>
      <xdr:col>6</xdr:col>
      <xdr:colOff>74603</xdr:colOff>
      <xdr:row>39</xdr:row>
      <xdr:rowOff>285322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5FCEAD-9E13-4A2F-B71F-1925D6AE7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28" y="9676013"/>
          <a:ext cx="1200285" cy="170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17318</xdr:colOff>
      <xdr:row>39</xdr:row>
      <xdr:rowOff>128153</xdr:rowOff>
    </xdr:from>
    <xdr:to>
      <xdr:col>6</xdr:col>
      <xdr:colOff>74603</xdr:colOff>
      <xdr:row>39</xdr:row>
      <xdr:rowOff>285322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EAFCF6-4EB2-4337-8DCE-94BCDCD38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28" y="9676013"/>
          <a:ext cx="1200285" cy="1705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17318</xdr:colOff>
      <xdr:row>105</xdr:row>
      <xdr:rowOff>128153</xdr:rowOff>
    </xdr:from>
    <xdr:to>
      <xdr:col>6</xdr:col>
      <xdr:colOff>74603</xdr:colOff>
      <xdr:row>105</xdr:row>
      <xdr:rowOff>292942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516CD69-8B1B-4A55-AE56-01167D6F7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28" y="9676013"/>
          <a:ext cx="1200285" cy="170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"/>
  <sheetViews>
    <sheetView showGridLines="0" view="pageBreakPreview" zoomScaleNormal="75" zoomScaleSheetLayoutView="100" zoomScalePageLayoutView="75" workbookViewId="0">
      <selection activeCell="R4" sqref="R4:AF4"/>
    </sheetView>
  </sheetViews>
  <sheetFormatPr defaultColWidth="9" defaultRowHeight="21" customHeight="1" x14ac:dyDescent="0.4"/>
  <cols>
    <col min="1" max="32" width="2.5" style="1" customWidth="1"/>
    <col min="33" max="45" width="9" style="47"/>
    <col min="46" max="16384" width="9" style="1"/>
  </cols>
  <sheetData>
    <row r="1" spans="1:32" ht="10.5" customHeight="1" x14ac:dyDescent="0.4"/>
    <row r="2" spans="1:32" ht="19.5" customHeight="1" x14ac:dyDescent="0.25">
      <c r="A2" s="61" t="s">
        <v>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29"/>
      <c r="M2" s="30"/>
      <c r="N2" s="63" t="s">
        <v>2</v>
      </c>
      <c r="O2" s="63"/>
      <c r="P2" s="63"/>
      <c r="Q2" s="63"/>
      <c r="R2" s="65" t="str">
        <f>계약서!AH28</f>
        <v>주식회사 에이치에스애드</v>
      </c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</row>
    <row r="3" spans="1:32" ht="19.5" customHeight="1" x14ac:dyDescent="0.2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M3" s="2"/>
      <c r="N3" s="59" t="s">
        <v>3</v>
      </c>
      <c r="O3" s="59"/>
      <c r="P3" s="59"/>
      <c r="Q3" s="59"/>
      <c r="R3" s="66" t="str">
        <f>계약서!AH7</f>
        <v>HSAD 반포효성빌딩 16층 원상복구 인테리어 공사</v>
      </c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</row>
    <row r="4" spans="1:32" ht="19.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M4" s="2"/>
      <c r="N4" s="59" t="s">
        <v>4</v>
      </c>
      <c r="O4" s="59"/>
      <c r="P4" s="59"/>
      <c r="Q4" s="59"/>
      <c r="R4" s="60" t="str">
        <f>계약서!AH24</f>
        <v>2025-08-00</v>
      </c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</row>
    <row r="5" spans="1:32" ht="19.5" customHeight="1" x14ac:dyDescent="0.4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11"/>
      <c r="AE5" s="11"/>
      <c r="AF5" s="11"/>
    </row>
    <row r="6" spans="1:32" ht="19.5" customHeight="1" x14ac:dyDescent="0.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19.5" customHeight="1" x14ac:dyDescent="0.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5"/>
      <c r="AF7" s="5"/>
    </row>
    <row r="8" spans="1:32" ht="19.5" customHeight="1" x14ac:dyDescent="0.4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19.5" customHeight="1" x14ac:dyDescent="0.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9.5" customHeight="1" x14ac:dyDescent="0.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9.5" customHeight="1" x14ac:dyDescent="0.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9.5" customHeight="1" x14ac:dyDescent="0.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9.5" customHeight="1" x14ac:dyDescent="0.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9"/>
      <c r="U13" s="9"/>
      <c r="V13" s="6"/>
      <c r="W13" s="6"/>
      <c r="X13" s="6"/>
      <c r="Y13" s="6"/>
      <c r="Z13" s="7"/>
      <c r="AA13" s="7"/>
      <c r="AB13" s="7"/>
      <c r="AC13" s="6"/>
      <c r="AD13" s="6"/>
      <c r="AE13" s="6"/>
      <c r="AF13" s="6"/>
    </row>
    <row r="14" spans="1:32" ht="19.5" customHeight="1" x14ac:dyDescent="0.4">
      <c r="A14" s="3"/>
      <c r="B14" s="3"/>
      <c r="C14" s="3"/>
      <c r="D14" s="3"/>
      <c r="E14" s="3"/>
      <c r="F14" s="6"/>
      <c r="G14" s="6"/>
      <c r="H14" s="6"/>
      <c r="I14" s="6"/>
      <c r="J14" s="6"/>
      <c r="K14" s="6"/>
      <c r="L14" s="6"/>
      <c r="M14" s="7"/>
      <c r="N14" s="7"/>
      <c r="O14" s="6"/>
      <c r="P14" s="6"/>
      <c r="Q14" s="6"/>
      <c r="R14" s="6"/>
      <c r="S14" s="3"/>
      <c r="T14" s="9"/>
      <c r="U14" s="9"/>
      <c r="V14" s="6"/>
      <c r="W14" s="6"/>
      <c r="X14" s="6"/>
      <c r="Y14" s="6"/>
      <c r="Z14" s="7"/>
      <c r="AA14" s="7"/>
      <c r="AB14" s="7"/>
      <c r="AC14" s="6"/>
      <c r="AD14" s="6"/>
      <c r="AE14" s="6"/>
      <c r="AF14" s="6"/>
    </row>
    <row r="15" spans="1:32" ht="19.5" customHeight="1" x14ac:dyDescent="0.4">
      <c r="A15" s="3"/>
      <c r="B15" s="3"/>
      <c r="C15" s="3"/>
      <c r="D15" s="3"/>
      <c r="E15" s="3"/>
      <c r="F15" s="6"/>
      <c r="G15" s="6"/>
      <c r="H15" s="6"/>
      <c r="I15" s="6"/>
      <c r="J15" s="6"/>
      <c r="K15" s="6"/>
      <c r="L15" s="6"/>
      <c r="M15" s="7"/>
      <c r="N15" s="7"/>
      <c r="O15" s="6"/>
      <c r="P15" s="6"/>
      <c r="Q15" s="6"/>
      <c r="R15" s="6"/>
      <c r="S15" s="3"/>
      <c r="T15" s="9"/>
      <c r="U15" s="9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9.5" customHeight="1" x14ac:dyDescent="0.4">
      <c r="A16" s="3"/>
      <c r="B16" s="3"/>
      <c r="C16" s="3"/>
      <c r="D16" s="3"/>
      <c r="E16" s="3"/>
      <c r="F16" s="6"/>
      <c r="G16" s="6"/>
      <c r="H16" s="6"/>
      <c r="I16" s="6"/>
      <c r="J16" s="6"/>
      <c r="K16" s="6"/>
      <c r="L16" s="6"/>
      <c r="M16" s="7"/>
      <c r="N16" s="7"/>
      <c r="O16" s="6"/>
      <c r="P16" s="6"/>
      <c r="Q16" s="6"/>
      <c r="R16" s="6"/>
      <c r="S16" s="3"/>
      <c r="T16" s="8"/>
      <c r="U16" s="8"/>
      <c r="V16" s="6"/>
      <c r="W16" s="6"/>
      <c r="X16" s="6"/>
      <c r="Y16" s="6"/>
      <c r="Z16" s="7"/>
      <c r="AA16" s="7"/>
      <c r="AB16" s="7"/>
      <c r="AC16" s="6"/>
      <c r="AD16" s="6"/>
      <c r="AE16" s="6"/>
      <c r="AF16" s="6"/>
    </row>
    <row r="17" spans="1:32" ht="19.5" customHeight="1" x14ac:dyDescent="0.25">
      <c r="A17" s="31"/>
      <c r="B17" s="31"/>
      <c r="C17" s="31"/>
      <c r="D17" s="31"/>
      <c r="E17" s="31"/>
      <c r="F17" s="32"/>
      <c r="G17" s="32"/>
      <c r="H17" s="32"/>
      <c r="I17" s="32"/>
      <c r="J17" s="32"/>
      <c r="K17" s="32"/>
      <c r="L17" s="32"/>
      <c r="M17" s="33"/>
      <c r="N17" s="64" t="s">
        <v>108</v>
      </c>
      <c r="O17" s="64"/>
      <c r="P17" s="64"/>
      <c r="Q17" s="64"/>
      <c r="R17" s="34" t="s">
        <v>112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9.5" customHeight="1" x14ac:dyDescent="0.4">
      <c r="A18" s="3"/>
      <c r="B18" s="3"/>
      <c r="C18" s="3"/>
      <c r="D18" s="3"/>
      <c r="E18" s="3"/>
      <c r="F18" s="6"/>
      <c r="G18" s="6"/>
      <c r="H18" s="6"/>
      <c r="I18" s="6"/>
      <c r="J18" s="6"/>
      <c r="K18" s="6"/>
      <c r="L18" s="6"/>
      <c r="M18" s="7"/>
      <c r="N18" s="7"/>
      <c r="O18" s="6"/>
      <c r="P18" s="6"/>
      <c r="Q18" s="6"/>
      <c r="R18" s="6"/>
      <c r="S18" s="3"/>
      <c r="T18" s="8"/>
      <c r="U18" s="8"/>
      <c r="V18" s="6"/>
      <c r="W18" s="6"/>
      <c r="X18" s="6"/>
      <c r="Y18" s="6"/>
      <c r="Z18" s="7"/>
      <c r="AA18" s="7"/>
      <c r="AB18" s="7"/>
      <c r="AC18" s="6"/>
      <c r="AD18" s="6"/>
      <c r="AE18" s="6"/>
      <c r="AF18" s="6"/>
    </row>
    <row r="19" spans="1:32" ht="19.5" customHeight="1" x14ac:dyDescent="0.4">
      <c r="A19" s="3"/>
      <c r="B19" s="3"/>
      <c r="C19" s="3"/>
      <c r="D19" s="3"/>
      <c r="E19" s="3"/>
      <c r="F19" s="6"/>
      <c r="G19" s="6"/>
      <c r="H19" s="6"/>
      <c r="I19" s="6"/>
      <c r="J19" s="6"/>
      <c r="K19" s="6"/>
      <c r="L19" s="6"/>
      <c r="M19" s="7"/>
      <c r="N19" s="7"/>
      <c r="O19" s="6"/>
      <c r="P19" s="6"/>
      <c r="Q19" s="6"/>
      <c r="R19" s="6"/>
      <c r="S19" s="3"/>
      <c r="T19" s="8"/>
      <c r="U19" s="8"/>
      <c r="V19" s="6"/>
      <c r="W19" s="6"/>
      <c r="X19" s="6"/>
      <c r="Y19" s="6"/>
      <c r="Z19" s="7"/>
      <c r="AA19" s="7"/>
      <c r="AB19" s="7"/>
      <c r="AC19" s="6"/>
      <c r="AD19" s="6"/>
      <c r="AE19" s="6"/>
      <c r="AF19" s="6"/>
    </row>
    <row r="20" spans="1:32" ht="19.5" customHeight="1" x14ac:dyDescent="0.4">
      <c r="A20" s="3"/>
      <c r="B20" s="3"/>
      <c r="C20" s="3"/>
      <c r="D20" s="3"/>
      <c r="E20" s="3"/>
      <c r="F20" s="6"/>
      <c r="G20" s="6"/>
      <c r="H20" s="6"/>
      <c r="I20" s="6"/>
      <c r="J20" s="6"/>
      <c r="K20" s="6"/>
      <c r="L20" s="6"/>
      <c r="M20" s="7"/>
      <c r="N20" s="7"/>
      <c r="O20" s="6"/>
      <c r="P20" s="6"/>
      <c r="Q20" s="6"/>
      <c r="R20" s="6"/>
      <c r="S20" s="3"/>
      <c r="T20" s="8"/>
      <c r="U20" s="8"/>
      <c r="V20" s="6"/>
      <c r="W20" s="6"/>
      <c r="X20" s="6"/>
      <c r="Y20" s="6"/>
      <c r="Z20" s="7"/>
      <c r="AA20" s="7"/>
      <c r="AB20" s="7"/>
      <c r="AC20" s="6"/>
      <c r="AD20" s="6"/>
      <c r="AE20" s="6"/>
      <c r="AF20" s="6"/>
    </row>
    <row r="21" spans="1:32" ht="19.5" customHeight="1" x14ac:dyDescent="0.4">
      <c r="A21" s="3"/>
      <c r="B21" s="3"/>
      <c r="C21" s="3"/>
      <c r="D21" s="3"/>
      <c r="E21" s="3"/>
      <c r="F21" s="6"/>
      <c r="G21" s="6"/>
      <c r="H21" s="6"/>
      <c r="I21" s="6"/>
      <c r="J21" s="6"/>
      <c r="K21" s="6"/>
      <c r="L21" s="6"/>
      <c r="M21" s="7"/>
      <c r="N21" s="7"/>
      <c r="O21" s="6"/>
      <c r="P21" s="6"/>
      <c r="Q21" s="6"/>
      <c r="R21" s="6"/>
      <c r="S21" s="3"/>
      <c r="T21" s="8"/>
      <c r="U21" s="8"/>
      <c r="V21" s="6"/>
      <c r="W21" s="6"/>
      <c r="X21" s="6"/>
      <c r="Y21" s="6"/>
      <c r="Z21" s="7"/>
      <c r="AA21" s="7"/>
      <c r="AB21" s="7"/>
      <c r="AC21" s="6"/>
      <c r="AD21" s="6"/>
      <c r="AE21" s="6"/>
      <c r="AF21" s="6"/>
    </row>
    <row r="22" spans="1:32" ht="19.5" customHeight="1" x14ac:dyDescent="0.4">
      <c r="A22" s="3"/>
      <c r="B22" s="3"/>
      <c r="C22" s="3"/>
      <c r="D22" s="3"/>
      <c r="E22" s="3"/>
      <c r="F22" s="6"/>
      <c r="G22" s="6"/>
      <c r="H22" s="6"/>
      <c r="I22" s="6"/>
      <c r="J22" s="6"/>
      <c r="K22" s="6"/>
      <c r="L22" s="6"/>
      <c r="M22" s="7"/>
      <c r="N22" s="7"/>
      <c r="O22" s="6"/>
      <c r="P22" s="6"/>
      <c r="Q22" s="6"/>
      <c r="R22" s="6"/>
      <c r="S22" s="3"/>
      <c r="T22" s="8"/>
      <c r="U22" s="8"/>
      <c r="V22" s="6"/>
      <c r="W22" s="6"/>
      <c r="X22" s="6"/>
      <c r="Y22" s="6"/>
      <c r="Z22" s="7"/>
      <c r="AA22" s="7"/>
      <c r="AB22" s="7"/>
      <c r="AC22" s="6"/>
      <c r="AD22" s="6"/>
      <c r="AE22" s="6"/>
      <c r="AF22" s="6"/>
    </row>
    <row r="23" spans="1:32" ht="19.5" customHeight="1" x14ac:dyDescent="0.4">
      <c r="A23" s="3"/>
      <c r="B23" s="3"/>
      <c r="C23" s="3"/>
      <c r="D23" s="3"/>
      <c r="E23" s="3"/>
      <c r="F23" s="6"/>
      <c r="G23" s="6"/>
      <c r="H23" s="6"/>
      <c r="I23" s="6"/>
      <c r="J23" s="6"/>
      <c r="K23" s="6"/>
      <c r="L23" s="6"/>
      <c r="M23" s="7"/>
      <c r="N23" s="7"/>
      <c r="O23" s="6"/>
      <c r="P23" s="6"/>
      <c r="Q23" s="6"/>
      <c r="R23" s="6"/>
      <c r="S23" s="3"/>
      <c r="T23" s="8"/>
      <c r="U23" s="8"/>
      <c r="V23" s="6"/>
      <c r="W23" s="6"/>
      <c r="X23" s="6"/>
      <c r="Y23" s="6"/>
      <c r="Z23" s="7"/>
      <c r="AA23" s="7"/>
      <c r="AB23" s="7"/>
      <c r="AC23" s="6"/>
      <c r="AD23" s="6"/>
      <c r="AE23" s="6"/>
      <c r="AF23" s="6"/>
    </row>
    <row r="24" spans="1:32" ht="19.5" customHeight="1" x14ac:dyDescent="0.4">
      <c r="A24" s="3"/>
      <c r="B24" s="3"/>
      <c r="C24" s="3"/>
      <c r="D24" s="3"/>
      <c r="E24" s="3"/>
      <c r="F24" s="6"/>
      <c r="G24" s="6"/>
      <c r="H24" s="6"/>
      <c r="I24" s="6"/>
      <c r="J24" s="6"/>
      <c r="K24" s="6"/>
      <c r="L24" s="6"/>
      <c r="M24" s="7"/>
      <c r="N24" s="7"/>
      <c r="O24" s="6"/>
      <c r="P24" s="6"/>
      <c r="Q24" s="6"/>
      <c r="R24" s="6"/>
      <c r="S24" s="3"/>
      <c r="T24" s="8"/>
      <c r="U24" s="8"/>
      <c r="V24" s="6"/>
      <c r="W24" s="6"/>
      <c r="X24" s="6"/>
      <c r="Y24" s="6"/>
      <c r="Z24" s="7"/>
      <c r="AA24" s="7"/>
      <c r="AB24" s="7"/>
      <c r="AC24" s="6"/>
      <c r="AD24" s="6"/>
      <c r="AE24" s="6"/>
      <c r="AF24" s="6"/>
    </row>
    <row r="25" spans="1:32" ht="19.5" customHeight="1" x14ac:dyDescent="0.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9.5" customHeight="1" x14ac:dyDescent="0.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9.5" customHeight="1" x14ac:dyDescent="0.4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2" ht="19.5" customHeight="1" x14ac:dyDescent="0.4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 ht="19.5" customHeight="1" x14ac:dyDescent="0.4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</row>
    <row r="30" spans="1:32" ht="19.5" customHeight="1" x14ac:dyDescent="0.4">
      <c r="A30" s="26"/>
      <c r="B30" s="26"/>
      <c r="C30" s="26"/>
      <c r="D30" s="26"/>
      <c r="E30" s="26"/>
      <c r="F30" s="27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</row>
    <row r="31" spans="1:32" ht="19.5" customHeight="1" x14ac:dyDescent="0.4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2" ht="19.5" customHeight="1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9.5" customHeight="1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9.5" customHeight="1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9.5" customHeight="1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9.5" customHeight="1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9.5" customHeight="1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9.5" customHeight="1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9.5" customHeight="1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30" customHeight="1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6"/>
      <c r="R40" s="58" t="s">
        <v>0</v>
      </c>
      <c r="S40" s="58"/>
      <c r="T40" s="58"/>
      <c r="U40" s="58"/>
      <c r="V40" s="58"/>
      <c r="W40" s="58"/>
      <c r="X40" s="58" t="s">
        <v>1</v>
      </c>
      <c r="Y40" s="58"/>
      <c r="Z40" s="58"/>
      <c r="AA40" s="58"/>
      <c r="AB40" s="58"/>
      <c r="AC40" s="58"/>
      <c r="AD40" s="58"/>
      <c r="AE40" s="58"/>
      <c r="AF40" s="58"/>
    </row>
  </sheetData>
  <mergeCells count="10">
    <mergeCell ref="R40:W40"/>
    <mergeCell ref="X40:AF40"/>
    <mergeCell ref="N4:Q4"/>
    <mergeCell ref="R4:AF4"/>
    <mergeCell ref="A2:K3"/>
    <mergeCell ref="N2:Q2"/>
    <mergeCell ref="N3:Q3"/>
    <mergeCell ref="N17:Q17"/>
    <mergeCell ref="R2:AF2"/>
    <mergeCell ref="R3:AF3"/>
  </mergeCells>
  <phoneticPr fontId="1" type="noConversion"/>
  <conditionalFormatting sqref="F27:AF29">
    <cfRule type="containsText" dxfId="6" priority="1" operator="containsText" text="[">
      <formula>NOT(ISERROR(SEARCH("[",F27)))</formula>
    </cfRule>
  </conditionalFormatting>
  <conditionalFormatting sqref="X8:AF8 F8:R10 X9:Y9 X10:AF10">
    <cfRule type="containsText" dxfId="5" priority="2" operator="containsText" text="[">
      <formula>NOT(ISERROR(SEARCH("[",F8)))</formula>
    </cfRule>
  </conditionalFormatting>
  <printOptions horizontalCentered="1" verticalCentered="1"/>
  <pageMargins left="0" right="0" top="0" bottom="0" header="0" footer="0"/>
  <pageSetup paperSize="9" orientation="portrait" r:id="rId1"/>
  <headerFooter scaleWithDoc="0" alignWithMargins="0"/>
  <colBreaks count="1" manualBreakCount="1">
    <brk id="3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0"/>
  <sheetViews>
    <sheetView showGridLines="0" view="pageBreakPreview" zoomScale="115" zoomScaleNormal="75" zoomScaleSheetLayoutView="115" zoomScalePageLayoutView="75" workbookViewId="0">
      <selection activeCell="AG14" sqref="AG14"/>
    </sheetView>
  </sheetViews>
  <sheetFormatPr defaultColWidth="9" defaultRowHeight="21" customHeight="1" x14ac:dyDescent="0.4"/>
  <cols>
    <col min="1" max="3" width="2.5" style="1" customWidth="1"/>
    <col min="4" max="32" width="2.5" style="13" customWidth="1"/>
    <col min="33" max="33" width="9" style="46"/>
    <col min="34" max="34" width="9" style="23" customWidth="1"/>
    <col min="35" max="39" width="9" style="23"/>
    <col min="40" max="40" width="9" style="46"/>
    <col min="41" max="45" width="9" style="47"/>
    <col min="46" max="16384" width="9" style="1"/>
  </cols>
  <sheetData>
    <row r="1" spans="1:39" ht="10.5" customHeight="1" x14ac:dyDescent="0.4"/>
    <row r="2" spans="1:39" ht="19.5" customHeight="1" x14ac:dyDescent="0.4">
      <c r="A2" s="62" t="s">
        <v>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</row>
    <row r="3" spans="1:39" ht="19.5" customHeight="1" x14ac:dyDescent="0.4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</row>
    <row r="4" spans="1:39" ht="19.5" customHeight="1" x14ac:dyDescent="0.4">
      <c r="A4" s="4"/>
      <c r="B4" s="4"/>
      <c r="C4" s="4"/>
      <c r="D4" s="14"/>
      <c r="E4" s="14"/>
      <c r="F4" s="14"/>
      <c r="G4" s="14"/>
      <c r="H4" s="14"/>
      <c r="I4" s="14"/>
      <c r="J4" s="14"/>
      <c r="K4" s="14"/>
    </row>
    <row r="5" spans="1:39" ht="19.5" customHeight="1" x14ac:dyDescent="0.4">
      <c r="A5" s="4"/>
      <c r="B5" s="4"/>
      <c r="C5" s="4"/>
      <c r="D5" s="14"/>
      <c r="E5" s="14"/>
      <c r="F5" s="14"/>
      <c r="G5" s="14"/>
      <c r="H5" s="14"/>
      <c r="I5" s="14"/>
      <c r="J5" s="14"/>
      <c r="K5" s="14"/>
      <c r="AD5" s="15"/>
      <c r="AE5" s="15"/>
      <c r="AF5" s="15"/>
    </row>
    <row r="6" spans="1:39" ht="19.5" customHeight="1" x14ac:dyDescent="0.4">
      <c r="A6" s="16"/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H6" s="23" t="s">
        <v>106</v>
      </c>
    </row>
    <row r="7" spans="1:39" ht="19.5" customHeight="1" x14ac:dyDescent="0.4">
      <c r="A7" s="72" t="s">
        <v>6</v>
      </c>
      <c r="B7" s="72"/>
      <c r="C7" s="74" t="s">
        <v>15</v>
      </c>
      <c r="D7" s="74"/>
      <c r="E7" s="74"/>
      <c r="F7" s="74"/>
      <c r="G7" s="74"/>
      <c r="H7" s="74"/>
      <c r="I7" s="74"/>
      <c r="J7" s="83" t="str">
        <f>IF($AH7=0,"[공사명]",$AH7)</f>
        <v>HSAD 반포효성빌딩 16층 원상복구 인테리어 공사</v>
      </c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H7" s="68" t="s">
        <v>125</v>
      </c>
      <c r="AI7" s="69"/>
      <c r="AJ7" s="69"/>
      <c r="AK7" s="69"/>
      <c r="AL7" s="69"/>
      <c r="AM7" s="70"/>
    </row>
    <row r="8" spans="1:39" ht="19.5" customHeight="1" x14ac:dyDescent="0.4">
      <c r="A8" s="73" t="s">
        <v>7</v>
      </c>
      <c r="B8" s="73"/>
      <c r="C8" s="75" t="s">
        <v>16</v>
      </c>
      <c r="D8" s="75"/>
      <c r="E8" s="75"/>
      <c r="F8" s="75"/>
      <c r="G8" s="75"/>
      <c r="H8" s="75"/>
      <c r="I8" s="75"/>
      <c r="J8" s="67" t="str">
        <f>IF($AH8=0,"[공사장소]",$AH8)</f>
        <v>서울 서초구 반포대로 235 반포효성빌딩 16층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H8" s="78" t="s">
        <v>126</v>
      </c>
      <c r="AI8" s="79"/>
      <c r="AJ8" s="79"/>
      <c r="AK8" s="79"/>
      <c r="AL8" s="79"/>
      <c r="AM8" s="80"/>
    </row>
    <row r="9" spans="1:39" ht="19.5" customHeight="1" x14ac:dyDescent="0.4">
      <c r="A9" s="73" t="s">
        <v>8</v>
      </c>
      <c r="B9" s="73"/>
      <c r="C9" s="75" t="s">
        <v>17</v>
      </c>
      <c r="D9" s="75"/>
      <c r="E9" s="75"/>
      <c r="F9" s="75"/>
      <c r="G9" s="75"/>
      <c r="H9" s="75"/>
      <c r="I9" s="75"/>
      <c r="J9" s="67" t="str">
        <f>IF(OR($AH9=0, $AI9=0, NOT(ISNUMBER($AH9)), NOT(ISNUMBER($AI9))), "[공사기간]", CONCATENATE(TEXT($AH$9,"yyyy년 mm월 dd일")," ~ ",TEXT($AI$9,"yyyy년 mm월 dd일")))</f>
        <v>2025년 12월 01일 ~ 2025년 12월 31일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H9" s="41">
        <v>45992</v>
      </c>
      <c r="AI9" s="41">
        <v>46022</v>
      </c>
    </row>
    <row r="10" spans="1:39" ht="19.5" customHeight="1" x14ac:dyDescent="0.4">
      <c r="A10" s="73" t="s">
        <v>9</v>
      </c>
      <c r="B10" s="73"/>
      <c r="C10" s="75" t="s">
        <v>18</v>
      </c>
      <c r="D10" s="75"/>
      <c r="E10" s="75"/>
      <c r="F10" s="75"/>
      <c r="G10" s="75"/>
      <c r="H10" s="75"/>
      <c r="I10" s="75"/>
      <c r="J10" s="67" t="str">
        <f>CONCATENATE("\ ", TEXT(SUM(AH11:AH12), "#,##0"), " (일금 ", NUMBERSTRING(SUM(AH11:AH12), 1), " 원)")</f>
        <v>\ 97,900,000 (일금 구천칠백구십만 원)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H10" s="25"/>
    </row>
    <row r="11" spans="1:39" ht="19.5" customHeight="1" x14ac:dyDescent="0.4">
      <c r="A11" s="73"/>
      <c r="B11" s="73"/>
      <c r="C11" s="75" t="s">
        <v>19</v>
      </c>
      <c r="D11" s="75"/>
      <c r="E11" s="75"/>
      <c r="F11" s="75"/>
      <c r="G11" s="75"/>
      <c r="H11" s="75"/>
      <c r="I11" s="75"/>
      <c r="J11" s="67" t="str">
        <f>IF(OR($AH11=0, NOT(ISNUMBER($AH11))), "[공급가액]", CONCATENATE("\ ", TEXT($AH11,"#,##0"), " (일금 ", NUMBERSTRING($AH11,1), " 원)"))</f>
        <v>\ 89,000,000 (일금 팔천구백만 원)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H11" s="43">
        <v>89000000</v>
      </c>
    </row>
    <row r="12" spans="1:39" ht="19.5" customHeight="1" x14ac:dyDescent="0.4">
      <c r="A12" s="73"/>
      <c r="B12" s="73"/>
      <c r="C12" s="75" t="s">
        <v>20</v>
      </c>
      <c r="D12" s="75"/>
      <c r="E12" s="75"/>
      <c r="F12" s="75"/>
      <c r="G12" s="75"/>
      <c r="H12" s="75"/>
      <c r="I12" s="75"/>
      <c r="J12" s="67" t="str">
        <f>IF(OR($AH12=0, NOT(ISNUMBER($AH12))), "[부가세액]", CONCATENATE("\ ", TEXT($AH12,"#,##0"), " (일금 ", NUMBERSTRING($AH12,1), " 원)"))</f>
        <v>\ 8,900,000 (일금 팔백구십만 원)</v>
      </c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H12" s="43">
        <f>AH11*0.1</f>
        <v>8900000</v>
      </c>
    </row>
    <row r="13" spans="1:39" ht="19.5" customHeight="1" x14ac:dyDescent="0.4">
      <c r="A13" s="73" t="s">
        <v>10</v>
      </c>
      <c r="B13" s="73"/>
      <c r="C13" s="75" t="s">
        <v>21</v>
      </c>
      <c r="D13" s="75"/>
      <c r="E13" s="75"/>
      <c r="F13" s="75"/>
      <c r="G13" s="75"/>
      <c r="H13" s="75"/>
      <c r="I13" s="75"/>
      <c r="J13" s="67" t="s">
        <v>27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53" t="s">
        <v>119</v>
      </c>
      <c r="AH13" s="52">
        <f>AH11+AH12</f>
        <v>97900000</v>
      </c>
    </row>
    <row r="14" spans="1:39" ht="19.5" customHeight="1" x14ac:dyDescent="0.4">
      <c r="A14" s="73" t="s">
        <v>11</v>
      </c>
      <c r="B14" s="73"/>
      <c r="C14" s="75" t="s">
        <v>22</v>
      </c>
      <c r="D14" s="75"/>
      <c r="E14" s="75"/>
      <c r="F14" s="75"/>
      <c r="G14" s="75"/>
      <c r="H14" s="75"/>
      <c r="I14" s="75"/>
      <c r="J14" s="67" t="s">
        <v>28</v>
      </c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</row>
    <row r="15" spans="1:39" ht="19.5" customHeight="1" x14ac:dyDescent="0.4">
      <c r="A15" s="73" t="s">
        <v>12</v>
      </c>
      <c r="B15" s="73"/>
      <c r="C15" s="75" t="s">
        <v>23</v>
      </c>
      <c r="D15" s="75"/>
      <c r="E15" s="75"/>
      <c r="F15" s="75"/>
      <c r="G15" s="75"/>
      <c r="H15" s="75"/>
      <c r="I15" s="75"/>
      <c r="J15" s="67" t="s">
        <v>116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</row>
    <row r="16" spans="1:39" ht="19.5" customHeight="1" x14ac:dyDescent="0.4">
      <c r="A16" s="73" t="s">
        <v>13</v>
      </c>
      <c r="B16" s="73"/>
      <c r="C16" s="75" t="s">
        <v>24</v>
      </c>
      <c r="D16" s="75"/>
      <c r="E16" s="75"/>
      <c r="F16" s="75"/>
      <c r="G16" s="75"/>
      <c r="H16" s="75"/>
      <c r="I16" s="75"/>
      <c r="J16" s="67" t="s">
        <v>29</v>
      </c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</row>
    <row r="17" spans="1:54" ht="19.5" customHeight="1" x14ac:dyDescent="0.4">
      <c r="A17" s="73" t="s">
        <v>14</v>
      </c>
      <c r="B17" s="73"/>
      <c r="C17" s="75" t="s">
        <v>25</v>
      </c>
      <c r="D17" s="75"/>
      <c r="E17" s="75"/>
      <c r="F17" s="75"/>
      <c r="G17" s="75"/>
      <c r="H17" s="75"/>
      <c r="I17" s="75"/>
      <c r="J17" s="67" t="s">
        <v>30</v>
      </c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</row>
    <row r="18" spans="1:54" ht="19.5" customHeight="1" x14ac:dyDescent="0.4">
      <c r="A18" s="3"/>
      <c r="B18" s="3"/>
      <c r="C18" s="3"/>
      <c r="D18" s="3"/>
      <c r="E18" s="3"/>
      <c r="F18" s="3"/>
      <c r="G18" s="12"/>
      <c r="H18" s="12"/>
      <c r="I18" s="12"/>
      <c r="J18" s="67" t="s">
        <v>31</v>
      </c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</row>
    <row r="19" spans="1:54" ht="19.5" customHeight="1" x14ac:dyDescent="0.4">
      <c r="A19" s="3"/>
      <c r="B19" s="3"/>
      <c r="C19" s="3"/>
      <c r="D19" s="3"/>
      <c r="E19" s="3"/>
      <c r="F19" s="3"/>
      <c r="G19" s="12"/>
      <c r="H19" s="12"/>
      <c r="I19" s="12"/>
      <c r="J19" s="77" t="str">
        <f>CONCATENATE("① 선금 : 계약금액의 30% 일금 ", IF(OR(AH19="", NOT(ISNUMBER(AH19))), "[선금]", NUMBERSTRING(AH19,1)), " 원정 (\ ", IF(OR(AH19="", NOT(ISNUMBER(AH19))), "[선금]", TEXT(AH19,"#,##0")), "/vat포함) - 착공 후 10일 이내")</f>
        <v>① 선금 : 계약금액의 30% 일금 이천구백삼십칠만 원정 (\ 29,370,000/vat포함) - 착공 후 10일 이내</v>
      </c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51">
        <v>0.3</v>
      </c>
      <c r="AH19" s="55">
        <f>AH13*AG19</f>
        <v>29370000</v>
      </c>
    </row>
    <row r="20" spans="1:54" ht="19.5" customHeight="1" x14ac:dyDescent="0.4">
      <c r="A20" s="3"/>
      <c r="B20" s="3"/>
      <c r="C20" s="3"/>
      <c r="D20" s="3"/>
      <c r="E20" s="3"/>
      <c r="F20" s="3"/>
      <c r="G20" s="12"/>
      <c r="H20" s="12"/>
      <c r="I20" s="12"/>
      <c r="J20" s="77" t="str">
        <f>CONCATENATE("② 잔금 : 계약금액의 70% 일금 ", IF(OR(AH20="", NOT(ISNUMBER(AH20))), "[잔금]", NUMBERSTRING(AH20,1)), " 원정 (\ ", IF(OR(AH20="", NOT(ISNUMBER(AH20))), "[잔금]", TEXT(AH20,"#,##0")), "/vat포함)")</f>
        <v>② 잔금 : 계약금액의 70% 일금 육천팔백오십삼만 원정 (\ 68,530,000/vat포함)</v>
      </c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51">
        <f>1-AG19</f>
        <v>0.7</v>
      </c>
      <c r="AH20" s="54">
        <f>AH13-AH19</f>
        <v>68530000</v>
      </c>
    </row>
    <row r="21" spans="1:54" ht="19.5" customHeight="1" x14ac:dyDescent="0.4">
      <c r="A21" s="37"/>
      <c r="B21" s="37"/>
      <c r="C21" s="37"/>
      <c r="D21" s="37"/>
      <c r="E21" s="37"/>
      <c r="F21" s="37"/>
      <c r="G21" s="38"/>
      <c r="H21" s="38"/>
      <c r="I21" s="38"/>
      <c r="J21" s="82" t="s">
        <v>109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54" ht="19.5" customHeight="1" x14ac:dyDescent="0.4">
      <c r="A22" s="31"/>
      <c r="B22" s="31"/>
      <c r="C22" s="31"/>
      <c r="D22" s="31"/>
      <c r="E22" s="31"/>
      <c r="F22" s="31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1"/>
      <c r="AJ22" s="40"/>
      <c r="AK22" s="40"/>
      <c r="AL22" s="40"/>
      <c r="AM22" s="40"/>
      <c r="AN22" s="12"/>
      <c r="AO22" s="12"/>
      <c r="AP22" s="48"/>
    </row>
    <row r="23" spans="1:54" ht="19.5" customHeight="1" x14ac:dyDescent="0.4">
      <c r="A23" s="3" t="s">
        <v>32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12"/>
      <c r="Z23" s="12"/>
      <c r="AA23" s="12"/>
      <c r="AB23" s="12"/>
      <c r="AC23" s="12"/>
      <c r="AD23" s="12"/>
      <c r="AE23" s="12"/>
      <c r="AF23" s="3"/>
    </row>
    <row r="24" spans="1:54" ht="19.5" customHeight="1" x14ac:dyDescent="0.4">
      <c r="A24" s="3" t="s">
        <v>33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81" t="str">
        <f>IF($AH24=0,"[날짜]",$AH24)</f>
        <v>2025-08-00</v>
      </c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12"/>
      <c r="AH24" s="44" t="s">
        <v>120</v>
      </c>
      <c r="AI24" s="45"/>
      <c r="AJ24" s="45"/>
      <c r="AK24" s="45"/>
      <c r="AM24" s="40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ht="19.5" customHeight="1" x14ac:dyDescent="0.4">
      <c r="A25" s="37"/>
      <c r="B25" s="37"/>
      <c r="C25" s="37"/>
      <c r="D25" s="37"/>
      <c r="E25" s="37"/>
      <c r="F25" s="37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7"/>
    </row>
    <row r="26" spans="1:54" ht="19.5" customHeight="1" x14ac:dyDescent="0.4">
      <c r="A26" s="3"/>
      <c r="B26" s="3"/>
      <c r="C26" s="3"/>
      <c r="D26" s="3"/>
      <c r="E26" s="3"/>
      <c r="F26" s="3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3"/>
    </row>
    <row r="27" spans="1:54" ht="19.5" customHeight="1" x14ac:dyDescent="0.4">
      <c r="A27" s="75" t="s">
        <v>34</v>
      </c>
      <c r="B27" s="75"/>
      <c r="C27" s="75"/>
      <c r="D27" s="75"/>
      <c r="E27" s="75"/>
      <c r="F27" s="75"/>
      <c r="G27" s="75"/>
      <c r="H27" s="75"/>
      <c r="I27" s="75"/>
      <c r="J27" s="67" t="s">
        <v>35</v>
      </c>
      <c r="K27" s="67"/>
      <c r="L27" s="67"/>
      <c r="M27" s="67" t="s">
        <v>36</v>
      </c>
      <c r="N27" s="67"/>
      <c r="O27" s="67"/>
      <c r="P27" s="67"/>
      <c r="Q27" s="67"/>
      <c r="R27" s="67"/>
      <c r="S27" s="67"/>
      <c r="T27" s="71" t="str">
        <f>IF($AH27=0,"[주소]",$AH27)</f>
        <v>서울 마포구 마포대로 155(공덕동,LD마포빌딩) 16층, 17층</v>
      </c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H27" s="68" t="s">
        <v>121</v>
      </c>
      <c r="AI27" s="69"/>
      <c r="AJ27" s="69"/>
      <c r="AK27" s="69"/>
      <c r="AL27" s="70"/>
    </row>
    <row r="28" spans="1:54" ht="19.5" customHeight="1" x14ac:dyDescent="0.4">
      <c r="A28" s="3"/>
      <c r="B28" s="3"/>
      <c r="C28" s="3"/>
      <c r="D28" s="3"/>
      <c r="E28" s="3"/>
      <c r="F28" s="3"/>
      <c r="G28" s="12"/>
      <c r="H28" s="12"/>
      <c r="I28" s="12"/>
      <c r="J28" s="12"/>
      <c r="K28" s="12"/>
      <c r="L28" s="12"/>
      <c r="M28" s="67" t="s">
        <v>37</v>
      </c>
      <c r="N28" s="67"/>
      <c r="O28" s="67"/>
      <c r="P28" s="67"/>
      <c r="Q28" s="67"/>
      <c r="R28" s="67"/>
      <c r="S28" s="67"/>
      <c r="T28" s="71" t="str">
        <f>IF($AH28=0,"[상호]",$AH28)</f>
        <v>주식회사 에이치에스애드</v>
      </c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H28" s="68" t="s">
        <v>122</v>
      </c>
      <c r="AI28" s="69"/>
      <c r="AJ28" s="69"/>
      <c r="AK28" s="69"/>
      <c r="AL28" s="70"/>
    </row>
    <row r="29" spans="1:54" ht="19.5" customHeight="1" x14ac:dyDescent="0.4">
      <c r="A29" s="3"/>
      <c r="B29" s="3"/>
      <c r="C29" s="3"/>
      <c r="D29" s="3"/>
      <c r="E29" s="3"/>
      <c r="F29" s="3"/>
      <c r="G29" s="12"/>
      <c r="H29" s="12"/>
      <c r="I29" s="12"/>
      <c r="J29" s="12"/>
      <c r="K29" s="12"/>
      <c r="L29" s="12"/>
      <c r="M29" s="67" t="s">
        <v>38</v>
      </c>
      <c r="N29" s="67"/>
      <c r="O29" s="67"/>
      <c r="P29" s="67"/>
      <c r="Q29" s="67"/>
      <c r="R29" s="67"/>
      <c r="S29" s="67"/>
      <c r="T29" s="71" t="str">
        <f>IF($AH29=0,"[사업자등록번호]",$AH29)</f>
        <v>105-81-29368</v>
      </c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H29" s="68" t="s">
        <v>123</v>
      </c>
      <c r="AI29" s="69"/>
      <c r="AJ29" s="69"/>
      <c r="AK29" s="69"/>
      <c r="AL29" s="70"/>
    </row>
    <row r="30" spans="1:54" ht="19.5" customHeight="1" x14ac:dyDescent="0.4">
      <c r="A30" s="3"/>
      <c r="B30" s="3"/>
      <c r="C30" s="3"/>
      <c r="D30" s="3"/>
      <c r="E30" s="3"/>
      <c r="F30" s="3"/>
      <c r="G30" s="12"/>
      <c r="H30" s="12"/>
      <c r="I30" s="12"/>
      <c r="J30" s="12"/>
      <c r="K30" s="12"/>
      <c r="L30" s="12"/>
      <c r="M30" s="67" t="s">
        <v>39</v>
      </c>
      <c r="N30" s="67"/>
      <c r="O30" s="67"/>
      <c r="P30" s="67"/>
      <c r="Q30" s="67"/>
      <c r="R30" s="67"/>
      <c r="S30" s="67"/>
      <c r="T30" s="71" t="str">
        <f>IF($AH30=0,"[대표자명]",$AH30)</f>
        <v>박 애 리</v>
      </c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6" t="s">
        <v>40</v>
      </c>
      <c r="AF30" s="76"/>
      <c r="AH30" s="68" t="s">
        <v>124</v>
      </c>
      <c r="AI30" s="69"/>
      <c r="AJ30" s="69"/>
      <c r="AK30" s="69"/>
      <c r="AL30" s="70"/>
    </row>
    <row r="31" spans="1:54" ht="19.5" customHeight="1" x14ac:dyDescent="0.4">
      <c r="A31" s="3"/>
      <c r="B31" s="3"/>
      <c r="C31" s="3"/>
      <c r="D31" s="3"/>
      <c r="E31" s="3"/>
      <c r="F31" s="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3"/>
    </row>
    <row r="32" spans="1:54" ht="19.5" customHeight="1" x14ac:dyDescent="0.4">
      <c r="A32" s="3"/>
      <c r="B32" s="3"/>
      <c r="C32" s="3"/>
      <c r="D32" s="3"/>
      <c r="E32" s="3"/>
      <c r="F32" s="3"/>
      <c r="G32" s="12"/>
      <c r="H32" s="12"/>
      <c r="I32" s="12"/>
      <c r="J32" s="67" t="s">
        <v>41</v>
      </c>
      <c r="K32" s="67"/>
      <c r="L32" s="67"/>
      <c r="M32" s="67" t="s">
        <v>36</v>
      </c>
      <c r="N32" s="67"/>
      <c r="O32" s="67"/>
      <c r="P32" s="67"/>
      <c r="Q32" s="67"/>
      <c r="R32" s="67"/>
      <c r="S32" s="67"/>
      <c r="T32" s="71" t="s">
        <v>42</v>
      </c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</row>
    <row r="33" spans="1:40" ht="19.5" customHeight="1" x14ac:dyDescent="0.4">
      <c r="A33" s="3"/>
      <c r="B33" s="3"/>
      <c r="C33" s="3"/>
      <c r="D33" s="3"/>
      <c r="E33" s="3"/>
      <c r="F33" s="3"/>
      <c r="G33" s="12"/>
      <c r="H33" s="12"/>
      <c r="I33" s="12"/>
      <c r="J33" s="12"/>
      <c r="K33" s="12"/>
      <c r="L33" s="12"/>
      <c r="M33" s="67" t="s">
        <v>37</v>
      </c>
      <c r="N33" s="67"/>
      <c r="O33" s="67"/>
      <c r="P33" s="67"/>
      <c r="Q33" s="67"/>
      <c r="R33" s="67"/>
      <c r="S33" s="67"/>
      <c r="T33" s="71" t="s">
        <v>115</v>
      </c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</row>
    <row r="34" spans="1:40" ht="19.5" customHeight="1" x14ac:dyDescent="0.4">
      <c r="A34" s="3"/>
      <c r="B34" s="3"/>
      <c r="C34" s="3"/>
      <c r="D34" s="3"/>
      <c r="E34" s="3"/>
      <c r="F34" s="3"/>
      <c r="G34" s="3"/>
      <c r="H34" s="3"/>
      <c r="I34" s="3"/>
      <c r="J34" s="12"/>
      <c r="K34" s="12"/>
      <c r="L34" s="12"/>
      <c r="M34" s="67" t="s">
        <v>38</v>
      </c>
      <c r="N34" s="67"/>
      <c r="O34" s="67"/>
      <c r="P34" s="67"/>
      <c r="Q34" s="67"/>
      <c r="R34" s="67"/>
      <c r="S34" s="67"/>
      <c r="T34" s="71" t="s">
        <v>43</v>
      </c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</row>
    <row r="35" spans="1:40" ht="19.5" customHeight="1" x14ac:dyDescent="0.4">
      <c r="A35" s="3"/>
      <c r="B35" s="3"/>
      <c r="C35" s="3"/>
      <c r="D35" s="3"/>
      <c r="E35" s="3"/>
      <c r="F35" s="3"/>
      <c r="G35" s="3"/>
      <c r="H35" s="3"/>
      <c r="I35" s="3"/>
      <c r="J35" s="12"/>
      <c r="K35" s="12"/>
      <c r="L35" s="12"/>
      <c r="M35" s="67" t="s">
        <v>39</v>
      </c>
      <c r="N35" s="67"/>
      <c r="O35" s="67"/>
      <c r="P35" s="67"/>
      <c r="Q35" s="67"/>
      <c r="R35" s="67"/>
      <c r="S35" s="67"/>
      <c r="T35" s="71" t="s">
        <v>44</v>
      </c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6" t="s">
        <v>40</v>
      </c>
      <c r="AF35" s="76"/>
    </row>
    <row r="36" spans="1:40" ht="19.5" customHeight="1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40" ht="19.5" customHeight="1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40" ht="19.5" customHeight="1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40" ht="19.5" customHeight="1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40" ht="30" customHeight="1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6"/>
      <c r="R40" s="58" t="s">
        <v>0</v>
      </c>
      <c r="S40" s="58"/>
      <c r="T40" s="58"/>
      <c r="U40" s="58"/>
      <c r="V40" s="58"/>
      <c r="W40" s="58"/>
      <c r="X40" s="58" t="s">
        <v>1</v>
      </c>
      <c r="Y40" s="58"/>
      <c r="Z40" s="58"/>
      <c r="AA40" s="58"/>
      <c r="AB40" s="58"/>
      <c r="AC40" s="58"/>
      <c r="AD40" s="58"/>
      <c r="AE40" s="58"/>
      <c r="AF40" s="58"/>
      <c r="AG40" s="47"/>
      <c r="AH40" s="42"/>
      <c r="AI40" s="42"/>
      <c r="AJ40" s="42"/>
      <c r="AK40" s="42"/>
      <c r="AL40" s="42"/>
      <c r="AM40" s="42"/>
      <c r="AN40" s="47"/>
    </row>
  </sheetData>
  <mergeCells count="68">
    <mergeCell ref="AH7:AM7"/>
    <mergeCell ref="AH8:AM8"/>
    <mergeCell ref="T24:AF24"/>
    <mergeCell ref="A9:B9"/>
    <mergeCell ref="A10:B10"/>
    <mergeCell ref="J21:AF21"/>
    <mergeCell ref="J13:AF13"/>
    <mergeCell ref="J14:AF14"/>
    <mergeCell ref="J15:AF15"/>
    <mergeCell ref="J16:AF16"/>
    <mergeCell ref="J17:AF17"/>
    <mergeCell ref="J7:AF7"/>
    <mergeCell ref="J8:AF8"/>
    <mergeCell ref="J9:AF9"/>
    <mergeCell ref="J11:AF11"/>
    <mergeCell ref="J12:AF12"/>
    <mergeCell ref="AE35:AF35"/>
    <mergeCell ref="AE30:AF30"/>
    <mergeCell ref="J18:AF18"/>
    <mergeCell ref="J19:AF19"/>
    <mergeCell ref="J20:AF20"/>
    <mergeCell ref="T35:AD35"/>
    <mergeCell ref="M35:S35"/>
    <mergeCell ref="T32:AF32"/>
    <mergeCell ref="T33:AF33"/>
    <mergeCell ref="T34:AF34"/>
    <mergeCell ref="M27:S27"/>
    <mergeCell ref="M28:S28"/>
    <mergeCell ref="M29:S29"/>
    <mergeCell ref="M30:S30"/>
    <mergeCell ref="M32:S32"/>
    <mergeCell ref="M33:S33"/>
    <mergeCell ref="A12:B12"/>
    <mergeCell ref="A13:B13"/>
    <mergeCell ref="J32:L32"/>
    <mergeCell ref="J27:L27"/>
    <mergeCell ref="A27:I27"/>
    <mergeCell ref="C12:I12"/>
    <mergeCell ref="C13:I13"/>
    <mergeCell ref="C14:I14"/>
    <mergeCell ref="C15:I15"/>
    <mergeCell ref="C16:I16"/>
    <mergeCell ref="C17:I17"/>
    <mergeCell ref="A14:B14"/>
    <mergeCell ref="A15:B15"/>
    <mergeCell ref="A16:B16"/>
    <mergeCell ref="A17:B17"/>
    <mergeCell ref="C8:I8"/>
    <mergeCell ref="C9:I9"/>
    <mergeCell ref="C10:I10"/>
    <mergeCell ref="C11:I11"/>
    <mergeCell ref="A11:B11"/>
    <mergeCell ref="M34:S34"/>
    <mergeCell ref="A2:AF3"/>
    <mergeCell ref="R40:W40"/>
    <mergeCell ref="X40:AF40"/>
    <mergeCell ref="AH27:AL27"/>
    <mergeCell ref="AH28:AL28"/>
    <mergeCell ref="AH29:AL29"/>
    <mergeCell ref="AH30:AL30"/>
    <mergeCell ref="J10:AF10"/>
    <mergeCell ref="T27:AF27"/>
    <mergeCell ref="T28:AF28"/>
    <mergeCell ref="T29:AF29"/>
    <mergeCell ref="T30:AD30"/>
    <mergeCell ref="A7:B7"/>
    <mergeCell ref="A8:B8"/>
    <mergeCell ref="C7:I7"/>
  </mergeCells>
  <phoneticPr fontId="1" type="noConversion"/>
  <conditionalFormatting sqref="J7:J20">
    <cfRule type="containsText" dxfId="4" priority="3" operator="containsText" text="[">
      <formula>NOT(ISERROR(SEARCH("[",J7)))</formula>
    </cfRule>
  </conditionalFormatting>
  <conditionalFormatting sqref="T27:T30">
    <cfRule type="containsText" dxfId="3" priority="2" operator="containsText" text="[">
      <formula>NOT(ISERROR(SEARCH("[",T27)))</formula>
    </cfRule>
  </conditionalFormatting>
  <conditionalFormatting sqref="T24">
    <cfRule type="containsText" dxfId="2" priority="1" operator="containsText" text="[">
      <formula>NOT(ISERROR(SEARCH("[",T24)))</formula>
    </cfRule>
  </conditionalFormatting>
  <printOptions horizontalCentered="1" verticalCentered="1"/>
  <pageMargins left="0" right="0" top="0" bottom="0" header="0" footer="0"/>
  <pageSetup paperSize="9" orientation="portrait" r:id="rId1"/>
  <headerFooter scaleWithDoc="0" alignWithMargins="0"/>
  <colBreaks count="1" manualBreakCount="1">
    <brk id="32" max="1048575" man="1"/>
  </colBreaks>
  <ignoredErrors>
    <ignoredError sqref="A7:A10 A13:A1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6"/>
  <sheetViews>
    <sheetView showGridLines="0" tabSelected="1" view="pageBreakPreview" zoomScale="145" zoomScaleNormal="75" zoomScaleSheetLayoutView="145" zoomScalePageLayoutView="75" workbookViewId="0">
      <selection activeCell="AC26" sqref="AC26"/>
    </sheetView>
  </sheetViews>
  <sheetFormatPr defaultColWidth="9" defaultRowHeight="21" customHeight="1" x14ac:dyDescent="0.4"/>
  <cols>
    <col min="1" max="3" width="2.5" style="1" customWidth="1"/>
    <col min="4" max="32" width="2.5" style="13" customWidth="1"/>
    <col min="33" max="34" width="9" style="46"/>
    <col min="35" max="48" width="9" style="47"/>
    <col min="49" max="16384" width="9" style="1"/>
  </cols>
  <sheetData>
    <row r="1" spans="1:36" ht="10.5" customHeight="1" x14ac:dyDescent="0.4"/>
    <row r="2" spans="1:36" ht="19.5" customHeight="1" x14ac:dyDescent="0.4">
      <c r="A2" s="62" t="s">
        <v>107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</row>
    <row r="3" spans="1:36" ht="19.5" customHeight="1" x14ac:dyDescent="0.4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</row>
    <row r="4" spans="1:36" ht="19.5" customHeight="1" x14ac:dyDescent="0.4">
      <c r="A4" s="4"/>
      <c r="B4" s="4"/>
      <c r="C4" s="4"/>
      <c r="D4" s="14"/>
      <c r="E4" s="14"/>
      <c r="F4" s="14"/>
      <c r="G4" s="14"/>
      <c r="H4" s="14"/>
      <c r="I4" s="14"/>
      <c r="J4" s="14"/>
      <c r="K4" s="14"/>
    </row>
    <row r="5" spans="1:36" ht="19.5" customHeight="1" x14ac:dyDescent="0.4">
      <c r="A5" s="4"/>
      <c r="B5" s="4"/>
      <c r="C5" s="4"/>
      <c r="D5" s="14"/>
      <c r="E5" s="14"/>
      <c r="F5" s="14"/>
      <c r="G5" s="14"/>
      <c r="H5" s="14"/>
      <c r="I5" s="14"/>
      <c r="J5" s="14"/>
      <c r="K5" s="14"/>
      <c r="AD5" s="15"/>
      <c r="AE5" s="15"/>
      <c r="AF5" s="15"/>
    </row>
    <row r="6" spans="1:36" ht="19.5" customHeight="1" x14ac:dyDescent="0.4">
      <c r="A6" s="16"/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</row>
    <row r="7" spans="1:36" ht="15" customHeight="1" x14ac:dyDescent="0.4">
      <c r="A7" s="18" t="s">
        <v>45</v>
      </c>
      <c r="B7" s="19"/>
      <c r="C7" s="19"/>
      <c r="D7" s="19"/>
      <c r="E7" s="19"/>
      <c r="F7" s="19"/>
      <c r="G7" s="19"/>
      <c r="H7" s="20"/>
      <c r="I7" s="24" t="str">
        <f>CONCATENATE(IF(계약서!$AH$28=0,"[업체명]",계약서!$AH$28)," (이하 '도급사'라고 한다.)와 ㈜퍼시스 (이하 '수급사'라고 한다.)는")</f>
        <v>주식회사 에이치에스애드 (이하 '도급사'라고 한다.)와 ㈜퍼시스 (이하 '수급사'라고 한다.)는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0"/>
      <c r="AF7" s="19"/>
      <c r="AH7" s="49"/>
      <c r="AI7" s="49"/>
      <c r="AJ7" s="49"/>
    </row>
    <row r="8" spans="1:36" ht="15" customHeight="1" x14ac:dyDescent="0.4">
      <c r="A8" s="18"/>
      <c r="B8" s="19"/>
      <c r="C8" s="19"/>
      <c r="D8" s="19"/>
      <c r="E8" s="19"/>
      <c r="F8" s="19"/>
      <c r="G8" s="19"/>
      <c r="H8" s="20"/>
      <c r="I8" s="20" t="s">
        <v>57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19"/>
    </row>
    <row r="9" spans="1:36" ht="15" customHeight="1" x14ac:dyDescent="0.4">
      <c r="A9" s="18"/>
      <c r="B9" s="19"/>
      <c r="C9" s="19"/>
      <c r="D9" s="19"/>
      <c r="E9" s="19"/>
      <c r="F9" s="19"/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19"/>
    </row>
    <row r="10" spans="1:36" ht="15" customHeight="1" x14ac:dyDescent="0.4">
      <c r="A10" s="18" t="s">
        <v>46</v>
      </c>
      <c r="B10" s="19"/>
      <c r="C10" s="19"/>
      <c r="D10" s="19"/>
      <c r="E10" s="19"/>
      <c r="F10" s="19"/>
      <c r="G10" s="19"/>
      <c r="H10" s="20"/>
      <c r="I10" s="20" t="s">
        <v>58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19"/>
    </row>
    <row r="11" spans="1:36" ht="15" customHeight="1" x14ac:dyDescent="0.4">
      <c r="A11" s="18"/>
      <c r="B11" s="19"/>
      <c r="C11" s="19"/>
      <c r="D11" s="19"/>
      <c r="E11" s="19"/>
      <c r="F11" s="19"/>
      <c r="G11" s="19"/>
      <c r="H11" s="20"/>
      <c r="I11" s="20" t="s">
        <v>59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19"/>
    </row>
    <row r="12" spans="1:36" ht="15" customHeight="1" x14ac:dyDescent="0.4">
      <c r="A12" s="18"/>
      <c r="B12" s="19"/>
      <c r="C12" s="19"/>
      <c r="D12" s="19"/>
      <c r="E12" s="19"/>
      <c r="F12" s="19"/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19"/>
    </row>
    <row r="13" spans="1:36" ht="15" customHeight="1" x14ac:dyDescent="0.4">
      <c r="A13" s="18" t="s">
        <v>47</v>
      </c>
      <c r="B13" s="19"/>
      <c r="C13" s="19"/>
      <c r="D13" s="19"/>
      <c r="E13" s="19"/>
      <c r="F13" s="19"/>
      <c r="G13" s="19"/>
      <c r="H13" s="20"/>
      <c r="I13" s="20" t="s">
        <v>60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19"/>
    </row>
    <row r="14" spans="1:36" ht="15" customHeight="1" x14ac:dyDescent="0.4">
      <c r="A14" s="18"/>
      <c r="B14" s="19"/>
      <c r="C14" s="19"/>
      <c r="D14" s="19"/>
      <c r="E14" s="19"/>
      <c r="F14" s="19"/>
      <c r="G14" s="19"/>
      <c r="H14" s="20"/>
      <c r="I14" s="20" t="s">
        <v>61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19"/>
    </row>
    <row r="15" spans="1:36" ht="15" customHeight="1" x14ac:dyDescent="0.4">
      <c r="A15" s="18"/>
      <c r="B15" s="19"/>
      <c r="C15" s="19"/>
      <c r="D15" s="19"/>
      <c r="E15" s="19"/>
      <c r="F15" s="19"/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19"/>
    </row>
    <row r="16" spans="1:36" ht="15" customHeight="1" x14ac:dyDescent="0.4">
      <c r="A16" s="18" t="s">
        <v>48</v>
      </c>
      <c r="B16" s="19"/>
      <c r="C16" s="19"/>
      <c r="D16" s="19"/>
      <c r="E16" s="19"/>
      <c r="F16" s="19"/>
      <c r="G16" s="19"/>
      <c r="H16" s="20"/>
      <c r="I16" s="20" t="s">
        <v>62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19"/>
    </row>
    <row r="17" spans="1:32" ht="15" customHeight="1" x14ac:dyDescent="0.4">
      <c r="A17" s="18"/>
      <c r="B17" s="19"/>
      <c r="C17" s="19"/>
      <c r="D17" s="19"/>
      <c r="E17" s="19"/>
      <c r="F17" s="19"/>
      <c r="G17" s="19"/>
      <c r="H17" s="20"/>
      <c r="I17" s="21" t="s">
        <v>63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19"/>
    </row>
    <row r="18" spans="1:32" ht="15" customHeight="1" x14ac:dyDescent="0.4">
      <c r="A18" s="19"/>
      <c r="B18" s="19"/>
      <c r="C18" s="19"/>
      <c r="D18" s="19"/>
      <c r="E18" s="19"/>
      <c r="F18" s="19"/>
      <c r="G18" s="19"/>
      <c r="H18" s="20"/>
      <c r="I18" s="20" t="s">
        <v>64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19"/>
    </row>
    <row r="19" spans="1:32" ht="15" customHeight="1" x14ac:dyDescent="0.4">
      <c r="A19" s="19"/>
      <c r="B19" s="19"/>
      <c r="C19" s="19"/>
      <c r="D19" s="19"/>
      <c r="E19" s="19"/>
      <c r="F19" s="19"/>
      <c r="G19" s="19"/>
      <c r="H19" s="20"/>
      <c r="I19" s="21" t="s">
        <v>65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19"/>
    </row>
    <row r="20" spans="1:32" ht="15" customHeight="1" x14ac:dyDescent="0.4">
      <c r="A20" s="19"/>
      <c r="B20" s="19"/>
      <c r="C20" s="19"/>
      <c r="D20" s="19"/>
      <c r="E20" s="19"/>
      <c r="F20" s="19"/>
      <c r="G20" s="19"/>
      <c r="H20" s="20"/>
      <c r="I20" s="21" t="s">
        <v>66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19"/>
    </row>
    <row r="21" spans="1:32" ht="15" customHeight="1" x14ac:dyDescent="0.4">
      <c r="A21" s="19"/>
      <c r="B21" s="19"/>
      <c r="C21" s="19"/>
      <c r="D21" s="19"/>
      <c r="E21" s="19"/>
      <c r="F21" s="19"/>
      <c r="G21" s="19"/>
      <c r="H21" s="20"/>
      <c r="I21" s="22"/>
      <c r="J21" s="22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19"/>
    </row>
    <row r="22" spans="1:32" ht="15" customHeight="1" x14ac:dyDescent="0.4">
      <c r="A22" s="19" t="s">
        <v>49</v>
      </c>
      <c r="B22" s="19"/>
      <c r="C22" s="19"/>
      <c r="D22" s="19"/>
      <c r="E22" s="19"/>
      <c r="F22" s="19"/>
      <c r="G22" s="19"/>
      <c r="H22" s="20"/>
      <c r="I22" s="20" t="s">
        <v>67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19"/>
    </row>
    <row r="23" spans="1:32" ht="15" customHeight="1" x14ac:dyDescent="0.4">
      <c r="A23" s="19"/>
      <c r="B23" s="19"/>
      <c r="C23" s="19"/>
      <c r="D23" s="19"/>
      <c r="E23" s="19"/>
      <c r="F23" s="19"/>
      <c r="G23" s="19"/>
      <c r="H23" s="20"/>
      <c r="I23" s="21" t="s">
        <v>68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19"/>
    </row>
    <row r="24" spans="1:32" ht="15" customHeight="1" x14ac:dyDescent="0.4">
      <c r="A24" s="19"/>
      <c r="B24" s="19"/>
      <c r="C24" s="19"/>
      <c r="D24" s="19"/>
      <c r="E24" s="19"/>
      <c r="F24" s="19"/>
      <c r="G24" s="19"/>
      <c r="H24" s="20"/>
      <c r="I24" s="20" t="s">
        <v>69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19"/>
    </row>
    <row r="25" spans="1:32" ht="15" customHeight="1" x14ac:dyDescent="0.4">
      <c r="A25" s="19"/>
      <c r="B25" s="19"/>
      <c r="C25" s="19"/>
      <c r="D25" s="19"/>
      <c r="E25" s="19"/>
      <c r="F25" s="19"/>
      <c r="G25" s="19"/>
      <c r="H25" s="20"/>
      <c r="I25" s="21" t="s">
        <v>70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19"/>
    </row>
    <row r="26" spans="1:32" ht="15" customHeight="1" x14ac:dyDescent="0.4">
      <c r="A26" s="19"/>
      <c r="B26" s="19"/>
      <c r="C26" s="19"/>
      <c r="D26" s="19"/>
      <c r="E26" s="19"/>
      <c r="F26" s="19"/>
      <c r="G26" s="19"/>
      <c r="H26" s="20"/>
      <c r="I26" s="56" t="s">
        <v>127</v>
      </c>
      <c r="J26" s="57" t="s">
        <v>133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19"/>
    </row>
    <row r="27" spans="1:32" ht="15" customHeight="1" x14ac:dyDescent="0.4">
      <c r="A27" s="19"/>
      <c r="B27" s="19"/>
      <c r="C27" s="19"/>
      <c r="D27" s="19"/>
      <c r="E27" s="19"/>
      <c r="F27" s="19"/>
      <c r="G27" s="19"/>
      <c r="H27" s="20"/>
      <c r="I27" s="21"/>
      <c r="J27" s="56" t="s">
        <v>132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19"/>
    </row>
    <row r="28" spans="1:32" ht="15" customHeight="1" x14ac:dyDescent="0.4">
      <c r="A28" s="19"/>
      <c r="B28" s="19"/>
      <c r="C28" s="19"/>
      <c r="D28" s="19"/>
      <c r="E28" s="19"/>
      <c r="F28" s="19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19"/>
    </row>
    <row r="29" spans="1:32" ht="15" customHeight="1" x14ac:dyDescent="0.4">
      <c r="A29" s="19" t="s">
        <v>50</v>
      </c>
      <c r="B29" s="19"/>
      <c r="C29" s="19"/>
      <c r="D29" s="19"/>
      <c r="E29" s="19"/>
      <c r="F29" s="19"/>
      <c r="G29" s="19"/>
      <c r="H29" s="20"/>
      <c r="I29" s="20" t="s">
        <v>71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19"/>
    </row>
    <row r="30" spans="1:32" ht="15" customHeight="1" x14ac:dyDescent="0.4">
      <c r="A30" s="19"/>
      <c r="B30" s="19"/>
      <c r="C30" s="19"/>
      <c r="D30" s="19"/>
      <c r="E30" s="19"/>
      <c r="F30" s="19"/>
      <c r="G30" s="19"/>
      <c r="H30" s="20"/>
      <c r="I30" s="21" t="s">
        <v>111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19"/>
    </row>
    <row r="31" spans="1:32" ht="15" customHeight="1" x14ac:dyDescent="0.4">
      <c r="A31" s="19"/>
      <c r="B31" s="19"/>
      <c r="C31" s="19"/>
      <c r="D31" s="19"/>
      <c r="E31" s="19"/>
      <c r="F31" s="19"/>
      <c r="G31" s="19"/>
      <c r="H31" s="20"/>
      <c r="I31" s="20" t="s">
        <v>72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19"/>
    </row>
    <row r="32" spans="1:32" ht="15" customHeight="1" x14ac:dyDescent="0.4">
      <c r="A32" s="19"/>
      <c r="B32" s="19"/>
      <c r="C32" s="19"/>
      <c r="D32" s="19"/>
      <c r="E32" s="19"/>
      <c r="F32" s="19"/>
      <c r="G32" s="19"/>
      <c r="H32" s="20"/>
      <c r="I32" s="21" t="s">
        <v>110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19"/>
    </row>
    <row r="33" spans="1:32" ht="15" customHeight="1" x14ac:dyDescent="0.4">
      <c r="A33" s="19"/>
      <c r="B33" s="19"/>
      <c r="C33" s="19"/>
      <c r="D33" s="19"/>
      <c r="E33" s="19"/>
      <c r="F33" s="19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19"/>
    </row>
    <row r="34" spans="1:32" ht="15" customHeight="1" x14ac:dyDescent="0.4">
      <c r="A34" s="19" t="s">
        <v>51</v>
      </c>
      <c r="B34" s="19"/>
      <c r="C34" s="19"/>
      <c r="D34" s="19"/>
      <c r="E34" s="19"/>
      <c r="F34" s="19"/>
      <c r="G34" s="19"/>
      <c r="H34" s="20"/>
      <c r="I34" s="20" t="s">
        <v>73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19"/>
    </row>
    <row r="35" spans="1:32" ht="15" customHeight="1" x14ac:dyDescent="0.4">
      <c r="A35" s="19"/>
      <c r="B35" s="19"/>
      <c r="C35" s="19"/>
      <c r="D35" s="19"/>
      <c r="E35" s="19"/>
      <c r="F35" s="19"/>
      <c r="G35" s="19"/>
      <c r="H35" s="20"/>
      <c r="I35" s="21" t="s">
        <v>74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19"/>
    </row>
    <row r="36" spans="1:32" ht="15" customHeight="1" x14ac:dyDescent="0.4">
      <c r="A36" s="19"/>
      <c r="B36" s="19"/>
      <c r="C36" s="19"/>
      <c r="D36" s="19"/>
      <c r="E36" s="19"/>
      <c r="F36" s="19"/>
      <c r="G36" s="19"/>
      <c r="H36" s="20"/>
      <c r="I36" s="20" t="s">
        <v>75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19"/>
    </row>
    <row r="37" spans="1:32" ht="15" customHeight="1" x14ac:dyDescent="0.4">
      <c r="A37" s="19"/>
      <c r="B37" s="19"/>
      <c r="C37" s="19"/>
      <c r="D37" s="19"/>
      <c r="E37" s="19"/>
      <c r="F37" s="19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19"/>
    </row>
    <row r="38" spans="1:32" ht="15" customHeight="1" x14ac:dyDescent="0.4">
      <c r="A38" s="19" t="s">
        <v>52</v>
      </c>
      <c r="B38" s="19"/>
      <c r="C38" s="19"/>
      <c r="D38" s="19"/>
      <c r="E38" s="19"/>
      <c r="F38" s="19"/>
      <c r="G38" s="19"/>
      <c r="H38" s="20"/>
      <c r="I38" s="20" t="s">
        <v>118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19"/>
    </row>
    <row r="39" spans="1:32" ht="15" customHeight="1" x14ac:dyDescent="0.4">
      <c r="A39" s="19"/>
      <c r="B39" s="19"/>
      <c r="C39" s="19"/>
      <c r="D39" s="19"/>
      <c r="E39" s="19"/>
      <c r="F39" s="19"/>
      <c r="G39" s="19"/>
      <c r="H39" s="20"/>
      <c r="I39" s="20" t="s">
        <v>104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19"/>
    </row>
    <row r="40" spans="1:32" ht="15" customHeight="1" x14ac:dyDescent="0.4">
      <c r="A40" s="19"/>
      <c r="B40" s="19"/>
      <c r="C40" s="19"/>
      <c r="D40" s="19"/>
      <c r="E40" s="19"/>
      <c r="F40" s="19"/>
      <c r="G40" s="19"/>
      <c r="H40" s="20"/>
      <c r="I40" s="20" t="s">
        <v>105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19"/>
    </row>
    <row r="41" spans="1:32" ht="15" customHeight="1" x14ac:dyDescent="0.4">
      <c r="A41" s="19"/>
      <c r="B41" s="19"/>
      <c r="C41" s="19"/>
      <c r="D41" s="19"/>
      <c r="E41" s="19"/>
      <c r="F41" s="19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19"/>
    </row>
    <row r="42" spans="1:32" ht="15" customHeight="1" x14ac:dyDescent="0.4">
      <c r="A42" s="19" t="s">
        <v>53</v>
      </c>
      <c r="B42" s="19"/>
      <c r="C42" s="19"/>
      <c r="D42" s="19"/>
      <c r="E42" s="19"/>
      <c r="F42" s="19"/>
      <c r="G42" s="19"/>
      <c r="H42" s="20"/>
      <c r="I42" s="20" t="s">
        <v>76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19"/>
    </row>
    <row r="43" spans="1:32" ht="15" customHeight="1" x14ac:dyDescent="0.4">
      <c r="A43" s="19"/>
      <c r="B43" s="19"/>
      <c r="C43" s="19"/>
      <c r="D43" s="19"/>
      <c r="E43" s="19"/>
      <c r="F43" s="19"/>
      <c r="G43" s="19"/>
      <c r="H43" s="20"/>
      <c r="I43" s="20" t="s">
        <v>77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19"/>
    </row>
    <row r="44" spans="1:32" ht="15" customHeight="1" x14ac:dyDescent="0.4">
      <c r="A44" s="19"/>
      <c r="B44" s="19"/>
      <c r="C44" s="19"/>
      <c r="D44" s="19"/>
      <c r="E44" s="19"/>
      <c r="F44" s="19"/>
      <c r="G44" s="19"/>
      <c r="H44" s="20"/>
      <c r="I44" s="20" t="s">
        <v>78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19"/>
    </row>
    <row r="45" spans="1:32" ht="15" customHeight="1" x14ac:dyDescent="0.4">
      <c r="A45" s="19"/>
      <c r="B45" s="19"/>
      <c r="C45" s="19"/>
      <c r="D45" s="19"/>
      <c r="E45" s="19"/>
      <c r="F45" s="19"/>
      <c r="G45" s="19"/>
      <c r="H45" s="20"/>
      <c r="I45" s="20" t="s">
        <v>79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19"/>
    </row>
    <row r="46" spans="1:32" ht="15" customHeight="1" x14ac:dyDescent="0.4">
      <c r="A46" s="19"/>
      <c r="B46" s="19"/>
      <c r="C46" s="19"/>
      <c r="D46" s="19"/>
      <c r="E46" s="19"/>
      <c r="F46" s="19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19"/>
    </row>
    <row r="47" spans="1:32" ht="15" customHeight="1" x14ac:dyDescent="0.4">
      <c r="A47" s="19" t="s">
        <v>26</v>
      </c>
      <c r="B47" s="19"/>
      <c r="C47" s="19"/>
      <c r="D47" s="19"/>
      <c r="E47" s="19"/>
      <c r="F47" s="19"/>
      <c r="G47" s="19"/>
      <c r="H47" s="20"/>
      <c r="I47" s="20" t="s">
        <v>80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19"/>
    </row>
    <row r="48" spans="1:32" ht="15" customHeight="1" x14ac:dyDescent="0.4">
      <c r="A48" s="19"/>
      <c r="B48" s="19"/>
      <c r="C48" s="19"/>
      <c r="D48" s="19"/>
      <c r="E48" s="19"/>
      <c r="F48" s="19"/>
      <c r="G48" s="19"/>
      <c r="H48" s="20"/>
      <c r="I48" s="20" t="s">
        <v>81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19"/>
    </row>
    <row r="49" spans="1:32" ht="15" customHeight="1" x14ac:dyDescent="0.4">
      <c r="A49" s="19"/>
      <c r="B49" s="19"/>
      <c r="C49" s="19"/>
      <c r="D49" s="19"/>
      <c r="E49" s="19"/>
      <c r="F49" s="19"/>
      <c r="G49" s="19"/>
      <c r="H49" s="20"/>
      <c r="I49" s="21" t="s">
        <v>82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19"/>
    </row>
    <row r="50" spans="1:32" ht="15" customHeight="1" x14ac:dyDescent="0.4">
      <c r="A50" s="19"/>
      <c r="B50" s="19"/>
      <c r="C50" s="19"/>
      <c r="D50" s="19"/>
      <c r="E50" s="19"/>
      <c r="F50" s="19"/>
      <c r="G50" s="19"/>
      <c r="H50" s="20"/>
      <c r="I50" s="21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19"/>
    </row>
    <row r="51" spans="1:32" ht="15" customHeight="1" x14ac:dyDescent="0.4">
      <c r="A51" s="19" t="s">
        <v>54</v>
      </c>
      <c r="B51" s="19"/>
      <c r="C51" s="19"/>
      <c r="D51" s="19"/>
      <c r="E51" s="19"/>
      <c r="F51" s="19"/>
      <c r="G51" s="19"/>
      <c r="H51" s="20"/>
      <c r="I51" s="20" t="s">
        <v>83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19"/>
    </row>
    <row r="52" spans="1:32" ht="15" customHeight="1" x14ac:dyDescent="0.4">
      <c r="A52" s="19"/>
      <c r="B52" s="19"/>
      <c r="C52" s="19"/>
      <c r="D52" s="19"/>
      <c r="E52" s="19"/>
      <c r="F52" s="19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19"/>
    </row>
    <row r="53" spans="1:32" ht="15" customHeight="1" x14ac:dyDescent="0.4">
      <c r="A53" s="19"/>
      <c r="B53" s="19"/>
      <c r="C53" s="19"/>
      <c r="D53" s="19"/>
      <c r="E53" s="19"/>
      <c r="F53" s="19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19"/>
    </row>
    <row r="54" spans="1:32" ht="15" customHeight="1" x14ac:dyDescent="0.4">
      <c r="A54" s="19" t="s">
        <v>55</v>
      </c>
      <c r="B54" s="19"/>
      <c r="C54" s="19"/>
      <c r="D54" s="19"/>
      <c r="E54" s="19"/>
      <c r="F54" s="19"/>
      <c r="G54" s="19"/>
      <c r="H54" s="20"/>
      <c r="I54" s="20" t="s">
        <v>84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19"/>
    </row>
    <row r="55" spans="1:32" ht="15" customHeight="1" x14ac:dyDescent="0.4">
      <c r="A55" s="19"/>
      <c r="B55" s="19"/>
      <c r="C55" s="19"/>
      <c r="D55" s="19"/>
      <c r="E55" s="19"/>
      <c r="F55" s="19"/>
      <c r="G55" s="19"/>
      <c r="H55" s="20"/>
      <c r="I55" s="21" t="s">
        <v>85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19"/>
    </row>
    <row r="56" spans="1:32" ht="15" customHeight="1" x14ac:dyDescent="0.4">
      <c r="A56" s="19"/>
      <c r="B56" s="19"/>
      <c r="C56" s="19"/>
      <c r="D56" s="19"/>
      <c r="E56" s="19"/>
      <c r="F56" s="19"/>
      <c r="G56" s="19"/>
      <c r="H56" s="20"/>
      <c r="I56" s="20" t="s">
        <v>86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19"/>
    </row>
    <row r="57" spans="1:32" ht="15" customHeight="1" x14ac:dyDescent="0.4">
      <c r="A57" s="19"/>
      <c r="B57" s="19"/>
      <c r="C57" s="19"/>
      <c r="D57" s="19"/>
      <c r="E57" s="19"/>
      <c r="F57" s="19"/>
      <c r="G57" s="19"/>
      <c r="H57" s="20"/>
      <c r="I57" s="21" t="s">
        <v>87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19"/>
    </row>
    <row r="58" spans="1:32" ht="15" customHeight="1" x14ac:dyDescent="0.4">
      <c r="A58" s="19"/>
      <c r="B58" s="19"/>
      <c r="C58" s="19"/>
      <c r="D58" s="19"/>
      <c r="E58" s="19"/>
      <c r="F58" s="19"/>
      <c r="G58" s="19"/>
      <c r="H58" s="20"/>
      <c r="I58" s="21" t="s">
        <v>88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19"/>
    </row>
    <row r="59" spans="1:32" ht="15" customHeight="1" x14ac:dyDescent="0.4">
      <c r="A59" s="19"/>
      <c r="B59" s="19"/>
      <c r="C59" s="19"/>
      <c r="D59" s="19"/>
      <c r="E59" s="19"/>
      <c r="F59" s="19"/>
      <c r="G59" s="19"/>
      <c r="H59" s="20"/>
      <c r="I59" s="21" t="s">
        <v>89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19"/>
    </row>
    <row r="60" spans="1:32" ht="15" customHeight="1" x14ac:dyDescent="0.4">
      <c r="A60" s="19"/>
      <c r="B60" s="19"/>
      <c r="C60" s="19"/>
      <c r="D60" s="19"/>
      <c r="E60" s="19"/>
      <c r="F60" s="19"/>
      <c r="G60" s="19"/>
      <c r="H60" s="20"/>
      <c r="I60" s="21" t="s">
        <v>90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19"/>
    </row>
    <row r="61" spans="1:32" ht="15" customHeight="1" x14ac:dyDescent="0.4">
      <c r="A61" s="19"/>
      <c r="B61" s="19"/>
      <c r="C61" s="19"/>
      <c r="D61" s="19"/>
      <c r="E61" s="19"/>
      <c r="F61" s="19"/>
      <c r="G61" s="19"/>
      <c r="H61" s="20"/>
      <c r="I61" s="20" t="s">
        <v>91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19"/>
    </row>
    <row r="62" spans="1:32" ht="15" customHeight="1" x14ac:dyDescent="0.4">
      <c r="A62" s="19"/>
      <c r="B62" s="19"/>
      <c r="C62" s="19"/>
      <c r="D62" s="19"/>
      <c r="E62" s="19"/>
      <c r="F62" s="19"/>
      <c r="G62" s="19"/>
      <c r="H62" s="20"/>
      <c r="I62" s="21" t="s">
        <v>92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19"/>
    </row>
    <row r="63" spans="1:32" ht="15" customHeight="1" x14ac:dyDescent="0.4">
      <c r="A63" s="19"/>
      <c r="B63" s="19"/>
      <c r="C63" s="19"/>
      <c r="D63" s="19"/>
      <c r="E63" s="19"/>
      <c r="F63" s="19"/>
      <c r="G63" s="19"/>
      <c r="H63" s="20"/>
      <c r="I63" s="20" t="s">
        <v>93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19"/>
    </row>
    <row r="64" spans="1:32" ht="15" customHeight="1" x14ac:dyDescent="0.4">
      <c r="A64" s="19"/>
      <c r="B64" s="19"/>
      <c r="C64" s="19"/>
      <c r="D64" s="19"/>
      <c r="E64" s="19"/>
      <c r="F64" s="19"/>
      <c r="G64" s="19"/>
      <c r="H64" s="20"/>
      <c r="I64" s="21" t="s">
        <v>94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19"/>
    </row>
    <row r="65" spans="1:32" ht="15" customHeight="1" x14ac:dyDescent="0.4">
      <c r="A65" s="19"/>
      <c r="B65" s="19"/>
      <c r="C65" s="19"/>
      <c r="D65" s="19"/>
      <c r="E65" s="19"/>
      <c r="F65" s="19"/>
      <c r="G65" s="19"/>
      <c r="H65" s="20"/>
      <c r="I65" s="21" t="s">
        <v>95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19"/>
    </row>
    <row r="66" spans="1:32" ht="15" customHeight="1" x14ac:dyDescent="0.4">
      <c r="A66" s="19"/>
      <c r="B66" s="19"/>
      <c r="C66" s="19"/>
      <c r="D66" s="19"/>
      <c r="E66" s="19"/>
      <c r="F66" s="19"/>
      <c r="G66" s="19"/>
      <c r="H66" s="20"/>
      <c r="I66" s="20" t="s">
        <v>96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19"/>
    </row>
    <row r="67" spans="1:32" ht="15" customHeight="1" x14ac:dyDescent="0.4">
      <c r="A67" s="19"/>
      <c r="B67" s="19"/>
      <c r="C67" s="19"/>
      <c r="D67" s="19"/>
      <c r="E67" s="19"/>
      <c r="F67" s="19"/>
      <c r="G67" s="19"/>
      <c r="H67" s="20"/>
      <c r="I67" s="20" t="s">
        <v>130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19"/>
    </row>
    <row r="68" spans="1:32" ht="15" customHeight="1" x14ac:dyDescent="0.4">
      <c r="A68" s="19"/>
      <c r="B68" s="19"/>
      <c r="C68" s="19"/>
      <c r="D68" s="19"/>
      <c r="E68" s="19"/>
      <c r="F68" s="19"/>
      <c r="G68" s="19"/>
      <c r="H68" s="20"/>
      <c r="I68" s="21" t="s">
        <v>131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19"/>
    </row>
    <row r="69" spans="1:32" ht="15" customHeight="1" x14ac:dyDescent="0.4">
      <c r="A69" s="19"/>
      <c r="B69" s="19"/>
      <c r="C69" s="19"/>
      <c r="D69" s="19"/>
      <c r="E69" s="19"/>
      <c r="F69" s="19"/>
      <c r="G69" s="19"/>
      <c r="H69" s="20"/>
      <c r="I69" s="50" t="s">
        <v>114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19"/>
    </row>
    <row r="70" spans="1:32" ht="15" customHeight="1" x14ac:dyDescent="0.4">
      <c r="A70" s="19"/>
      <c r="B70" s="19"/>
      <c r="C70" s="19"/>
      <c r="D70" s="19"/>
      <c r="E70" s="19"/>
      <c r="F70" s="19"/>
      <c r="G70" s="19"/>
      <c r="H70" s="20"/>
      <c r="I70" s="21" t="s">
        <v>97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19"/>
    </row>
    <row r="71" spans="1:32" ht="15" customHeight="1" x14ac:dyDescent="0.4">
      <c r="A71" s="19"/>
      <c r="B71" s="19"/>
      <c r="C71" s="19"/>
      <c r="D71" s="19"/>
      <c r="E71" s="19"/>
      <c r="F71" s="19"/>
      <c r="G71" s="19"/>
      <c r="H71" s="20"/>
      <c r="I71" s="20" t="s">
        <v>98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19"/>
    </row>
    <row r="72" spans="1:32" ht="15" customHeight="1" x14ac:dyDescent="0.4">
      <c r="A72" s="19"/>
      <c r="B72" s="19"/>
      <c r="C72" s="19"/>
      <c r="D72" s="19"/>
      <c r="E72" s="19"/>
      <c r="F72" s="19"/>
      <c r="G72" s="19"/>
      <c r="H72" s="20"/>
      <c r="I72" s="21" t="s">
        <v>99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19"/>
    </row>
    <row r="73" spans="1:32" ht="15" customHeight="1" x14ac:dyDescent="0.4">
      <c r="A73" s="19"/>
      <c r="B73" s="19"/>
      <c r="C73" s="19"/>
      <c r="D73" s="19"/>
      <c r="E73" s="19"/>
      <c r="F73" s="19"/>
      <c r="G73" s="19"/>
      <c r="H73" s="20"/>
      <c r="I73" s="20" t="s">
        <v>113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19"/>
    </row>
    <row r="74" spans="1:32" ht="15" customHeight="1" x14ac:dyDescent="0.4">
      <c r="A74" s="19"/>
      <c r="B74" s="19"/>
      <c r="C74" s="19"/>
      <c r="D74" s="19"/>
      <c r="E74" s="19"/>
      <c r="F74" s="19"/>
      <c r="G74" s="19"/>
      <c r="H74" s="20"/>
      <c r="I74" s="21" t="s">
        <v>100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19"/>
    </row>
    <row r="75" spans="1:32" ht="15" customHeight="1" x14ac:dyDescent="0.4">
      <c r="A75" s="19"/>
      <c r="B75" s="19"/>
      <c r="C75" s="19"/>
      <c r="D75" s="19"/>
      <c r="E75" s="19"/>
      <c r="F75" s="19"/>
      <c r="G75" s="19"/>
      <c r="H75" s="20"/>
      <c r="I75" s="20" t="s">
        <v>101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19"/>
    </row>
    <row r="76" spans="1:32" ht="15" customHeight="1" x14ac:dyDescent="0.4">
      <c r="A76" s="19"/>
      <c r="B76" s="19"/>
      <c r="C76" s="19"/>
      <c r="D76" s="19"/>
      <c r="E76" s="19"/>
      <c r="F76" s="19"/>
      <c r="G76" s="19"/>
      <c r="H76" s="20"/>
      <c r="I76" s="21" t="s">
        <v>102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19"/>
    </row>
    <row r="77" spans="1:32" ht="15" customHeight="1" x14ac:dyDescent="0.4">
      <c r="A77" s="19"/>
      <c r="B77" s="19"/>
      <c r="C77" s="19"/>
      <c r="D77" s="19"/>
      <c r="E77" s="19"/>
      <c r="F77" s="19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19"/>
    </row>
    <row r="78" spans="1:32" ht="15" customHeight="1" x14ac:dyDescent="0.4">
      <c r="A78" s="57" t="s">
        <v>128</v>
      </c>
      <c r="B78" s="57"/>
      <c r="C78" s="57"/>
      <c r="D78" s="57"/>
      <c r="E78" s="57"/>
      <c r="F78" s="57"/>
      <c r="G78" s="57"/>
      <c r="H78" s="56"/>
      <c r="I78" s="56" t="s">
        <v>129</v>
      </c>
      <c r="J78" s="56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19"/>
    </row>
    <row r="79" spans="1:32" ht="15" customHeight="1" x14ac:dyDescent="0.4">
      <c r="A79" s="19"/>
      <c r="B79" s="19"/>
      <c r="C79" s="19"/>
      <c r="D79" s="19"/>
      <c r="E79" s="19"/>
      <c r="F79" s="19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19"/>
    </row>
    <row r="80" spans="1:32" ht="15" customHeight="1" x14ac:dyDescent="0.4">
      <c r="A80" s="19" t="s">
        <v>56</v>
      </c>
      <c r="B80" s="19"/>
      <c r="C80" s="19"/>
      <c r="D80" s="19"/>
      <c r="E80" s="19"/>
      <c r="F80" s="19"/>
      <c r="G80" s="19"/>
      <c r="H80" s="20"/>
      <c r="I80" s="20" t="s">
        <v>103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19"/>
    </row>
    <row r="81" spans="1:40" ht="15" customHeight="1" x14ac:dyDescent="0.4">
      <c r="A81" s="19"/>
      <c r="B81" s="19"/>
      <c r="C81" s="19"/>
      <c r="D81" s="19"/>
      <c r="E81" s="19"/>
      <c r="F81" s="19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19"/>
    </row>
    <row r="82" spans="1:40" ht="15" customHeight="1" x14ac:dyDescent="0.4">
      <c r="A82" s="19"/>
      <c r="B82" s="19"/>
      <c r="C82" s="19"/>
      <c r="D82" s="19"/>
      <c r="E82" s="19"/>
      <c r="F82" s="19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X82" s="84" t="str">
        <f>계약서!$T$24</f>
        <v>2025-08-00</v>
      </c>
      <c r="Y82" s="84"/>
      <c r="Z82" s="84"/>
      <c r="AA82" s="84"/>
      <c r="AB82" s="84"/>
      <c r="AC82" s="84"/>
      <c r="AD82" s="84"/>
      <c r="AE82" s="84"/>
      <c r="AF82" s="84"/>
      <c r="AG82" s="28"/>
      <c r="AH82" s="28"/>
      <c r="AI82" s="28"/>
      <c r="AJ82" s="28"/>
      <c r="AK82" s="28"/>
      <c r="AL82" s="28"/>
      <c r="AM82" s="28"/>
      <c r="AN82" s="28"/>
    </row>
    <row r="83" spans="1:40" ht="15" customHeight="1" x14ac:dyDescent="0.4">
      <c r="A83" s="19"/>
      <c r="B83" s="19"/>
      <c r="C83" s="19"/>
      <c r="D83" s="19"/>
      <c r="E83" s="19"/>
      <c r="F83" s="19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19"/>
    </row>
    <row r="84" spans="1:40" ht="15" customHeight="1" x14ac:dyDescent="0.4">
      <c r="A84" s="19"/>
      <c r="B84" s="19"/>
      <c r="C84" s="19"/>
      <c r="D84" s="19"/>
      <c r="E84" s="19"/>
      <c r="F84" s="19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19"/>
    </row>
    <row r="85" spans="1:40" ht="15" customHeight="1" x14ac:dyDescent="0.4">
      <c r="A85" s="19"/>
      <c r="B85" s="19"/>
      <c r="C85" s="19"/>
      <c r="D85" s="19"/>
      <c r="E85" s="19"/>
      <c r="F85" s="19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19"/>
    </row>
    <row r="86" spans="1:40" ht="15" customHeight="1" x14ac:dyDescent="0.4">
      <c r="A86" s="19"/>
      <c r="B86" s="19"/>
      <c r="C86" s="19"/>
      <c r="D86" s="19"/>
      <c r="E86" s="19"/>
      <c r="F86" s="19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19"/>
    </row>
    <row r="87" spans="1:40" ht="15" customHeight="1" x14ac:dyDescent="0.4">
      <c r="A87" s="19"/>
      <c r="B87" s="19"/>
      <c r="C87" s="19"/>
      <c r="D87" s="19"/>
      <c r="E87" s="19"/>
      <c r="F87" s="19"/>
      <c r="G87" s="19"/>
      <c r="H87" s="20"/>
      <c r="I87" s="20" t="s">
        <v>117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19"/>
    </row>
    <row r="88" spans="1:40" ht="15" customHeight="1" x14ac:dyDescent="0.4">
      <c r="A88" s="19"/>
      <c r="B88" s="19"/>
      <c r="C88" s="19"/>
      <c r="D88" s="19"/>
      <c r="E88" s="19"/>
      <c r="F88" s="19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19"/>
    </row>
    <row r="89" spans="1:40" ht="15" customHeight="1" x14ac:dyDescent="0.4">
      <c r="A89" s="19"/>
      <c r="B89" s="19"/>
      <c r="C89" s="19"/>
      <c r="D89" s="19"/>
      <c r="E89" s="19"/>
      <c r="F89" s="19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19"/>
    </row>
    <row r="90" spans="1:40" ht="15" customHeight="1" x14ac:dyDescent="0.4">
      <c r="A90" s="19"/>
      <c r="B90" s="19"/>
      <c r="C90" s="19"/>
      <c r="D90" s="19"/>
      <c r="E90" s="19"/>
      <c r="F90" s="19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19"/>
    </row>
    <row r="91" spans="1:40" ht="15" customHeight="1" x14ac:dyDescent="0.4">
      <c r="A91" s="19"/>
      <c r="B91" s="19"/>
      <c r="C91" s="19"/>
      <c r="D91" s="19"/>
      <c r="E91" s="19"/>
      <c r="F91" s="19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19"/>
    </row>
    <row r="92" spans="1:40" ht="15" customHeight="1" x14ac:dyDescent="0.4">
      <c r="A92" s="19"/>
      <c r="B92" s="19"/>
      <c r="C92" s="19"/>
      <c r="D92" s="19"/>
      <c r="E92" s="19"/>
      <c r="F92" s="19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19"/>
    </row>
    <row r="93" spans="1:40" ht="15" customHeight="1" x14ac:dyDescent="0.4">
      <c r="A93" s="19"/>
      <c r="B93" s="19"/>
      <c r="C93" s="19"/>
      <c r="D93" s="19"/>
      <c r="E93" s="19"/>
      <c r="F93" s="19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19"/>
    </row>
    <row r="94" spans="1:40" ht="15" customHeight="1" x14ac:dyDescent="0.4">
      <c r="A94" s="19"/>
      <c r="B94" s="19"/>
      <c r="C94" s="19"/>
      <c r="D94" s="19"/>
      <c r="E94" s="19"/>
      <c r="F94" s="19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19"/>
    </row>
    <row r="95" spans="1:40" ht="15" customHeight="1" x14ac:dyDescent="0.4">
      <c r="A95" s="19"/>
      <c r="B95" s="19"/>
      <c r="C95" s="19"/>
      <c r="D95" s="19"/>
      <c r="E95" s="19"/>
      <c r="F95" s="19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19"/>
    </row>
    <row r="96" spans="1:40" ht="15" customHeight="1" x14ac:dyDescent="0.4">
      <c r="A96" s="19"/>
      <c r="B96" s="19"/>
      <c r="C96" s="19"/>
      <c r="D96" s="19"/>
      <c r="E96" s="19"/>
      <c r="F96" s="19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19"/>
    </row>
    <row r="97" spans="1:34" ht="15" customHeight="1" x14ac:dyDescent="0.4">
      <c r="A97" s="19"/>
      <c r="B97" s="19"/>
      <c r="C97" s="19"/>
      <c r="D97" s="19"/>
      <c r="E97" s="19"/>
      <c r="F97" s="19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19"/>
    </row>
    <row r="98" spans="1:34" ht="15" customHeight="1" x14ac:dyDescent="0.4">
      <c r="A98" s="19"/>
      <c r="B98" s="19"/>
      <c r="C98" s="19"/>
      <c r="D98" s="19"/>
      <c r="E98" s="19"/>
      <c r="F98" s="19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19"/>
    </row>
    <row r="99" spans="1:34" ht="15" customHeight="1" x14ac:dyDescent="0.4">
      <c r="A99" s="19"/>
      <c r="B99" s="19"/>
      <c r="C99" s="19"/>
      <c r="D99" s="19"/>
      <c r="E99" s="19"/>
      <c r="F99" s="19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19"/>
    </row>
    <row r="100" spans="1:34" ht="15" customHeight="1" x14ac:dyDescent="0.4">
      <c r="A100" s="19"/>
      <c r="B100" s="19"/>
      <c r="C100" s="19"/>
      <c r="D100" s="19"/>
      <c r="E100" s="19"/>
      <c r="F100" s="19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19"/>
    </row>
    <row r="101" spans="1:34" ht="15" customHeight="1" x14ac:dyDescent="0.4">
      <c r="A101" s="19"/>
      <c r="B101" s="19"/>
      <c r="C101" s="19"/>
      <c r="D101" s="19"/>
      <c r="E101" s="19"/>
      <c r="F101" s="19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19"/>
    </row>
    <row r="102" spans="1:34" ht="15" customHeight="1" x14ac:dyDescent="0.4">
      <c r="A102" s="19"/>
      <c r="B102" s="19"/>
      <c r="C102" s="19"/>
      <c r="D102" s="19"/>
      <c r="E102" s="19"/>
      <c r="F102" s="19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19"/>
    </row>
    <row r="103" spans="1:34" ht="15" customHeight="1" x14ac:dyDescent="0.4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</row>
    <row r="104" spans="1:34" ht="15" customHeight="1" x14ac:dyDescent="0.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</row>
    <row r="105" spans="1:34" ht="15" customHeight="1" x14ac:dyDescent="0.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4" ht="30" customHeight="1" x14ac:dyDescent="0.2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6"/>
      <c r="R106" s="58" t="s">
        <v>0</v>
      </c>
      <c r="S106" s="58"/>
      <c r="T106" s="58"/>
      <c r="U106" s="58"/>
      <c r="V106" s="58"/>
      <c r="W106" s="58"/>
      <c r="X106" s="58" t="s">
        <v>1</v>
      </c>
      <c r="Y106" s="58"/>
      <c r="Z106" s="58"/>
      <c r="AA106" s="58"/>
      <c r="AB106" s="58"/>
      <c r="AC106" s="58"/>
      <c r="AD106" s="58"/>
      <c r="AE106" s="58"/>
      <c r="AF106" s="58"/>
      <c r="AG106" s="47"/>
      <c r="AH106" s="47"/>
    </row>
  </sheetData>
  <mergeCells count="4">
    <mergeCell ref="A2:AF3"/>
    <mergeCell ref="R106:W106"/>
    <mergeCell ref="X106:AF106"/>
    <mergeCell ref="X82:AF82"/>
  </mergeCells>
  <phoneticPr fontId="1" type="noConversion"/>
  <conditionalFormatting sqref="I7:J20">
    <cfRule type="containsText" dxfId="1" priority="4" operator="containsText" text="[">
      <formula>NOT(ISERROR(SEARCH("[",I7)))</formula>
    </cfRule>
  </conditionalFormatting>
  <conditionalFormatting sqref="X82">
    <cfRule type="containsText" dxfId="0" priority="1" operator="containsText" text="[">
      <formula>NOT(ISERROR(SEARCH("[",X82)))</formula>
    </cfRule>
  </conditionalFormatting>
  <printOptions horizontalCentered="1" verticalCentered="1"/>
  <pageMargins left="0" right="0" top="0" bottom="0" header="0" footer="0"/>
  <pageSetup paperSize="9" orientation="portrait" r:id="rId1"/>
  <headerFooter scaleWithDoc="0" alignWithMargins="0"/>
  <rowBreaks count="1" manualBreakCount="1">
    <brk id="53" max="31" man="1"/>
  </rowBreaks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표지</vt:lpstr>
      <vt:lpstr>계약서</vt:lpstr>
      <vt:lpstr>계약조건</vt:lpstr>
      <vt:lpstr>계약서!Print_Area</vt:lpstr>
      <vt:lpstr>계약조건!Print_Area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정희 장</dc:creator>
  <cp:lastModifiedBy>김현주 (Hyunjoo Kim)</cp:lastModifiedBy>
  <cp:lastPrinted>2025-07-21T09:12:06Z</cp:lastPrinted>
  <dcterms:created xsi:type="dcterms:W3CDTF">2024-11-25T04:59:39Z</dcterms:created>
  <dcterms:modified xsi:type="dcterms:W3CDTF">2025-08-28T02:39:50Z</dcterms:modified>
</cp:coreProperties>
</file>