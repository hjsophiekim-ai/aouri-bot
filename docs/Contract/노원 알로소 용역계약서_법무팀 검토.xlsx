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현주(HyunjooKim)\Google Drive 스트리밍\내 드라이브\Fursys\계약서검토\251120_노원 알로서 용역계약서\"/>
    </mc:Choice>
  </mc:AlternateContent>
  <xr:revisionPtr revIDLastSave="0" documentId="13_ncr:1_{728E471C-DEA2-4674-B7CC-27911D9AE268}" xr6:coauthVersionLast="36" xr6:coauthVersionMax="47" xr10:uidLastSave="{00000000-0000-0000-0000-000000000000}"/>
  <bookViews>
    <workbookView xWindow="0" yWindow="0" windowWidth="12936" windowHeight="3492" xr2:uid="{56D08F16-1A53-4B48-81C6-B961E192D6A4}"/>
  </bookViews>
  <sheets>
    <sheet name="알로소_용역계약서" sheetId="1" r:id="rId1"/>
    <sheet name="시디즈_업무기술서" sheetId="2" r:id="rId2"/>
    <sheet name="산정근거" sheetId="4" r:id="rId3"/>
    <sheet name="시디즈_개인정보" sheetId="3" r:id="rId4"/>
  </sheets>
  <externalReferences>
    <externalReference r:id="rId5"/>
    <externalReference r:id="rId6"/>
  </externalReferences>
  <definedNames>
    <definedName name="\p">[1]차량운반구!#REF!</definedName>
    <definedName name="\t">#N/A</definedName>
    <definedName name="_xlnm.Print_Area" localSheetId="2">산정근거!$A$1:$G$52</definedName>
    <definedName name="_xlnm.Print_Area" localSheetId="3">시디즈_개인정보!$A$1:$G$92</definedName>
    <definedName name="_xlnm.Print_Area" localSheetId="1">시디즈_업무기술서!$A$1:$C$58</definedName>
    <definedName name="_xlnm.Print_Area" localSheetId="0">알로소_용역계약서!$A$1:$G$137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C87" i="3"/>
  <c r="C86" i="3"/>
  <c r="C85" i="3"/>
  <c r="B21" i="1"/>
  <c r="B7" i="1" l="1"/>
  <c r="F129" i="1"/>
  <c r="C129" i="1"/>
  <c r="F128" i="1"/>
  <c r="C128" i="1"/>
  <c r="F127" i="1"/>
  <c r="C127" i="1"/>
  <c r="B36" i="1"/>
</calcChain>
</file>

<file path=xl/sharedStrings.xml><?xml version="1.0" encoding="utf-8"?>
<sst xmlns="http://schemas.openxmlformats.org/spreadsheetml/2006/main" count="217" uniqueCount="207">
  <si>
    <t>용 역 계 약 서</t>
    <phoneticPr fontId="6" type="noConversion"/>
  </si>
  <si>
    <t>(위임인)</t>
    <phoneticPr fontId="6" type="noConversion"/>
  </si>
  <si>
    <t>경기도 평택시 세교산단로 67-20</t>
    <phoneticPr fontId="4" type="noConversion"/>
  </si>
  <si>
    <t>(수임인)</t>
    <phoneticPr fontId="6" type="noConversion"/>
  </si>
  <si>
    <t>서울시 송파구 오금로 311</t>
    <phoneticPr fontId="6" type="noConversion"/>
  </si>
  <si>
    <t>주식회사 시디즈</t>
    <phoneticPr fontId="6" type="noConversion"/>
  </si>
  <si>
    <t>주식회사 일룸</t>
    <phoneticPr fontId="6" type="noConversion"/>
  </si>
  <si>
    <t>대표이사 김태은</t>
    <phoneticPr fontId="6" type="noConversion"/>
  </si>
  <si>
    <t>대표이사 정보은</t>
    <phoneticPr fontId="6" type="noConversion"/>
  </si>
  <si>
    <t>제1조【목적】</t>
    <phoneticPr fontId="6" type="noConversion"/>
  </si>
  <si>
    <t>본 계약은 위임인이 수임인을 일룸 노원점에 입점한 알로소제품 등의 영업/판매/관리</t>
    <phoneticPr fontId="6" type="noConversion"/>
  </si>
  <si>
    <t>부문에 대한 용역 수행자로 지정하고, 수임인이 이를 수락함에 따라 당사자 상호간의 권리와</t>
    <phoneticPr fontId="6" type="noConversion"/>
  </si>
  <si>
    <t>의무를 정함을 목적으로 한다.</t>
    <phoneticPr fontId="6" type="noConversion"/>
  </si>
  <si>
    <t>제2조【용역의 수행범위】</t>
    <phoneticPr fontId="6" type="noConversion"/>
  </si>
  <si>
    <t>수임인이 본 계약에 따라 수행하여야 할 구체적인 업무의 내용 및 범위는 별첨 업무기술서에</t>
    <phoneticPr fontId="6" type="noConversion"/>
  </si>
  <si>
    <t>따른다. 위임인과 수임인의 합의에 따라 별첨 업무기술서의 내용은 수시로 변경될 수 있다.</t>
    <phoneticPr fontId="6" type="noConversion"/>
  </si>
  <si>
    <t>제3조【용역의 수행기간】</t>
    <phoneticPr fontId="6" type="noConversion"/>
  </si>
  <si>
    <t xml:space="preserve">② 계약 종료일의 30일 전까지 일방이 상대방에 대하여 더 이상 계약을 연장하지 않겠다는 </t>
    <phoneticPr fontId="6" type="noConversion"/>
  </si>
  <si>
    <t xml:space="preserve">   의사표시를 하지 않는 한, 본 계약은 1년간 자동 연장된다. </t>
    <phoneticPr fontId="4" type="noConversion"/>
  </si>
  <si>
    <t>제4조【용역 보수 산정 및 지급】</t>
    <phoneticPr fontId="6" type="noConversion"/>
  </si>
  <si>
    <t>① 연간 용역 보수는 수임인이 위임인을 위해 본 계약 제2조의 용역을 수행하면서 발생한 비용</t>
    <phoneticPr fontId="6" type="noConversion"/>
  </si>
  <si>
    <t>② 수임인은 연간 용역에 착수하기 5일 전 까지, 연간 발생이 예상되는 잠정 용역 보수(이하</t>
    <phoneticPr fontId="6" type="noConversion"/>
  </si>
  <si>
    <t xml:space="preserve">   "잠정 용역 보수")를 산정하여 위임인에게 제출하여야 한다.</t>
    <phoneticPr fontId="6" type="noConversion"/>
  </si>
  <si>
    <t>③ 위임인은 수임인이 제출한 전항의 잠정 용역 보수를 검토하여 그 승인 여부를 5일 내에 수</t>
    <phoneticPr fontId="6" type="noConversion"/>
  </si>
  <si>
    <t xml:space="preserve">   임인에게 통보하여야 한다. 해당 기간 내에 위임인의 통지가 없는 경우 위임인과 수임인은</t>
    <phoneticPr fontId="6" type="noConversion"/>
  </si>
  <si>
    <t xml:space="preserve">   잠정 용역 보수 확정에 대한 합의를 완료한 것으로 간주한다.</t>
    <phoneticPr fontId="6" type="noConversion"/>
  </si>
  <si>
    <t>④ 위임인은 전항에 따라 수임인과 합의가 완료된 잠정 용역 보수를 12개월로 분할(이하 "월 용역</t>
    <phoneticPr fontId="6" type="noConversion"/>
  </si>
  <si>
    <t xml:space="preserve">   보수")하여 해당 금액을 매월 수임인에게 지급한다. 월 용역 보수는 부가가치세를 가산하여 매</t>
    <phoneticPr fontId="6" type="noConversion"/>
  </si>
  <si>
    <t xml:space="preserve">   월 말일에 수임인이 위임인에게 세금계산서를 발행하여 청구하며, 청구를 받은 위임인은 청구</t>
    <phoneticPr fontId="6" type="noConversion"/>
  </si>
  <si>
    <t xml:space="preserve">   해야한다.</t>
    <phoneticPr fontId="6" type="noConversion"/>
  </si>
  <si>
    <t>⑤ 수임인은 연간 용역을 완료하기 5일 전 까지, 연간 용역 보수의 확정(이하 "확정 용역 보수")</t>
    <phoneticPr fontId="6" type="noConversion"/>
  </si>
  <si>
    <t xml:space="preserve">   을 위해 제1항의 금액을 반영한 산정표를 위임인에게 제출하여야 한다.</t>
    <phoneticPr fontId="6" type="noConversion"/>
  </si>
  <si>
    <t>⑥ 위임인은 수임인이 제출한 전항의 산정표를 검토하여 그 결과를 5일 내에 수임인에게 통보하</t>
    <phoneticPr fontId="6" type="noConversion"/>
  </si>
  <si>
    <t xml:space="preserve">   여야 한다. 해당 기간 내에 위임인의 통지가 없는 경우 위임인과 수임인은 확정 용역 보수 산</t>
    <phoneticPr fontId="6" type="noConversion"/>
  </si>
  <si>
    <t xml:space="preserve">   정에 대한 합의를 완료한 것으로 간주한다.</t>
    <phoneticPr fontId="6" type="noConversion"/>
  </si>
  <si>
    <t>⑦ 전항의 합의가 완료된 경우 위임인과 수임인은 기 지급된 잠정 용역 보수와 확정 용역 보수를</t>
    <phoneticPr fontId="6" type="noConversion"/>
  </si>
  <si>
    <t xml:space="preserve">   비교하여 그 차액을 상호 정산(미지급이 있는 경우 미지급액 추가 지급 또는 초과 지급이 있는</t>
    <phoneticPr fontId="6" type="noConversion"/>
  </si>
  <si>
    <t xml:space="preserve">   경우 초과지급액 반환)한다.</t>
    <phoneticPr fontId="6" type="noConversion"/>
  </si>
  <si>
    <t>⑧ 위임인이 수임인에 대한 채권이 있는 경우 위임인은 본 계약상 용역 보수에서 해당 채권액을</t>
    <phoneticPr fontId="6" type="noConversion"/>
  </si>
  <si>
    <t xml:space="preserve">   공제한 후 지급할 수 있다. </t>
    <phoneticPr fontId="6" type="noConversion"/>
  </si>
  <si>
    <t>제5조【비밀유지】</t>
    <phoneticPr fontId="6" type="noConversion"/>
  </si>
  <si>
    <t>① 수임인은 본 계약에 따른 업무 수행과정에서 스스로 알게 되거나, 위임인 또는 그 직원으로부</t>
    <phoneticPr fontId="6" type="noConversion"/>
  </si>
  <si>
    <t xml:space="preserve">   터 제공받아 알게 된 위임인의 일체의 기술상 혹은 경영상의 정보 및 이를 기초로 새롭게 발생</t>
    <phoneticPr fontId="6" type="noConversion"/>
  </si>
  <si>
    <r>
      <t xml:space="preserve">   된 일체의 기술</t>
    </r>
    <r>
      <rPr>
        <sz val="10"/>
        <rFont val="Tahoma"/>
        <family val="2"/>
        <charset val="129"/>
      </rPr>
      <t>‧</t>
    </r>
    <r>
      <rPr>
        <sz val="10"/>
        <rFont val="돋움체"/>
        <family val="3"/>
        <charset val="129"/>
      </rPr>
      <t>경영상 정보(이하 "비밀정보")를 본 계약의 목적 이외의 목적으로 사용하지</t>
    </r>
    <phoneticPr fontId="6" type="noConversion"/>
  </si>
  <si>
    <t xml:space="preserve">   아니하며, 위임인의 서면동의 없이 제3자에게 제공, 공개, 반출, 복사, 복제, 유출, 판매, 누</t>
    <phoneticPr fontId="6" type="noConversion"/>
  </si>
  <si>
    <t xml:space="preserve">   설, 발표 등을 하여서는 아니된다.</t>
    <phoneticPr fontId="6" type="noConversion"/>
  </si>
  <si>
    <t>② 수임인은 비밀정보의 분실, 도난, 누설 등이 발생하지 않도록 해당 임직원 각자에게 위임인의</t>
    <phoneticPr fontId="6" type="noConversion"/>
  </si>
  <si>
    <t xml:space="preserve">   비밀정보에 대한 비밀유지를 주지시키고 기술, 설비, 시스템 등의 보안사항을 유지 및 발전시</t>
    <phoneticPr fontId="6" type="noConversion"/>
  </si>
  <si>
    <t xml:space="preserve">   키는 등 필요한 조치를 취하여야 한다.</t>
    <phoneticPr fontId="6" type="noConversion"/>
  </si>
  <si>
    <t>③ 위임인은 필요한 경우 본 업무가 수행되고 있는 수임인의 영업장 등을 방문하여 본 계약이 정</t>
    <phoneticPr fontId="6" type="noConversion"/>
  </si>
  <si>
    <t xml:space="preserve">   하는 목적범위 내에서 수임인과 상호 협의하여 정한 방법 및 절차에 따라 본 업무와 관련된 모</t>
    <phoneticPr fontId="6" type="noConversion"/>
  </si>
  <si>
    <t xml:space="preserve">   든 자료, 문서, 기록 및 보고서 등을 점검, 조사 및 또는 확인할 수 있다.</t>
    <phoneticPr fontId="6" type="noConversion"/>
  </si>
  <si>
    <t>제6조【책임】</t>
    <phoneticPr fontId="6" type="noConversion"/>
  </si>
  <si>
    <t>① 수임인은 본 계약상 의무를 이행함에 있어 제3자의 법률상 보장된 권리를 침해하지 않아야 한</t>
    <phoneticPr fontId="6" type="noConversion"/>
  </si>
  <si>
    <t xml:space="preserve">   다.</t>
    <phoneticPr fontId="6" type="noConversion"/>
  </si>
  <si>
    <t>② 수임인이 본 계약상 의무를 이행함에 있어 제3자의 개인정보를 처리(수집, 생성, 기록, 저장,</t>
    <phoneticPr fontId="6" type="noConversion"/>
  </si>
  <si>
    <t xml:space="preserve">   보유, 이용, 제공, 공개, 파기 등)하는 경우, 수임인은 별첨의 개인정보처리위탁계약서를 체결</t>
    <phoneticPr fontId="6" type="noConversion"/>
  </si>
  <si>
    <t xml:space="preserve">   하여야 한다. 또한 수임인은 수임인의 책임하에 해당 개인정보를 처리하며 그 처리에 있어 개</t>
    <phoneticPr fontId="6" type="noConversion"/>
  </si>
  <si>
    <t xml:space="preserve">   인정보보호 관련 법령에 위반이 없음을 보증한다.</t>
    <phoneticPr fontId="6" type="noConversion"/>
  </si>
  <si>
    <t>제7조【계약의 변경】</t>
    <phoneticPr fontId="6" type="noConversion"/>
  </si>
  <si>
    <t>위임인과 수임인은 서면 합의를 통해 본 계약의 내용을 변경할 수 있다.</t>
    <phoneticPr fontId="6" type="noConversion"/>
  </si>
  <si>
    <t>제8조【양도금지 및 하도급 제한】</t>
    <phoneticPr fontId="6" type="noConversion"/>
  </si>
  <si>
    <t>수임인은 본 계약상 용역을 직접 수행하여야 하며, 본 계약상 권리∙의무의 전부 또는 일부를 임의</t>
    <phoneticPr fontId="6" type="noConversion"/>
  </si>
  <si>
    <t>로 양도 또는 하도급하거나 담보의 목적물로 제공할 수 없다.</t>
    <phoneticPr fontId="6" type="noConversion"/>
  </si>
  <si>
    <t>제9조【불가항력】</t>
    <phoneticPr fontId="6" type="noConversion"/>
  </si>
  <si>
    <t>위임인 또는 수임인은 천재지변, 폭동, 전쟁 등과 같은 불가항력으로 인한 계약상 의무의 불이행</t>
    <phoneticPr fontId="6" type="noConversion"/>
  </si>
  <si>
    <t>또는 이행지체에 대하여는 상대방에게 책임을 부담하지 아니한다.</t>
  </si>
  <si>
    <t>제10조【계약의 해지】</t>
    <phoneticPr fontId="6" type="noConversion"/>
  </si>
  <si>
    <t>① 본 계약의 각 당사자는 상대방이 본 계약상 의무를 위반할 경우 14일의 기간을 정하여 이에 대</t>
    <phoneticPr fontId="6" type="noConversion"/>
  </si>
  <si>
    <t xml:space="preserve">   한 시정을 최고한 후, 동 기간 내에 상대방이 계약상 의무 위반사항을 시정하지 않는 경우 서</t>
    <phoneticPr fontId="6" type="noConversion"/>
  </si>
  <si>
    <t xml:space="preserve">   면 통지를 통해 본 계약을 해지할 수 있다. </t>
    <phoneticPr fontId="6" type="noConversion"/>
  </si>
  <si>
    <t>② 다음 각 호의 사항이 발생한 경우 위임인 또는 수임인은 상대방에 대한 서면 통지를 통해 본</t>
    <phoneticPr fontId="6" type="noConversion"/>
  </si>
  <si>
    <t xml:space="preserve">   계약을 즉시 해지할 수 있다. </t>
    <phoneticPr fontId="6" type="noConversion"/>
  </si>
  <si>
    <t xml:space="preserve">    1. 수임인이 본 계약을 이행할 수 없다고 인정되는 객관적인 사유가 발생하는 경우</t>
    <phoneticPr fontId="6" type="noConversion"/>
  </si>
  <si>
    <t xml:space="preserve">    2. 수임인이 본 계약이행의 포기의 의사를 위임인에게 전달한 경우</t>
    <phoneticPr fontId="6" type="noConversion"/>
  </si>
  <si>
    <t xml:space="preserve">    3. 수임인이 해산, 청산, 파산 또는 회생절차에 들어가거나 이와 유사한 절차의 신청이 있는</t>
    <phoneticPr fontId="6" type="noConversion"/>
  </si>
  <si>
    <t xml:space="preserve">       경우</t>
    <phoneticPr fontId="6" type="noConversion"/>
  </si>
  <si>
    <t xml:space="preserve">    4. 수임인이 행정관청으로부터 영업정지 또는 영업취소 등의 처분을 받아 본 계약을 이행할</t>
    <phoneticPr fontId="6" type="noConversion"/>
  </si>
  <si>
    <t xml:space="preserve">       수 없음이 객관적으로 명백한 경우</t>
    <phoneticPr fontId="6" type="noConversion"/>
  </si>
  <si>
    <t xml:space="preserve">    5. 수임인이 발행한 어음이 부도처리된 경우</t>
    <phoneticPr fontId="6" type="noConversion"/>
  </si>
  <si>
    <t>제11조【손해배상】</t>
    <phoneticPr fontId="6" type="noConversion"/>
  </si>
  <si>
    <t>위임인 또는 수임인이 본 계약상 의무를 위반하거나 고의 또는 과실의 위법행위로써 상대방 또는</t>
    <phoneticPr fontId="6" type="noConversion"/>
  </si>
  <si>
    <t>제3자에게 손해를 입힌 경우 귀책당사자는 상대방 또는 제3자가 입은 손해를 배상하여야 한다.</t>
    <phoneticPr fontId="6" type="noConversion"/>
  </si>
  <si>
    <t>이 경우, 무책당사자는 손해확대 방지 및 손해배상을 위해 적절한 조치를 취할 수 있으며, 이로</t>
    <phoneticPr fontId="6" type="noConversion"/>
  </si>
  <si>
    <t>인해 발생한 비용을 귀책당사자에게 구상할 수 있다.</t>
    <phoneticPr fontId="6" type="noConversion"/>
  </si>
  <si>
    <t>제12조【특약사항】</t>
    <phoneticPr fontId="6" type="noConversion"/>
  </si>
  <si>
    <t>본 계약에 명시되지 않은 사항에 대해서는 위임인과 수임인이 상호 호혜의 원칙에 입각하여 해결</t>
    <phoneticPr fontId="6" type="noConversion"/>
  </si>
  <si>
    <t xml:space="preserve">하고 필요한 경우 별도 서면 합의를 진행한다. </t>
  </si>
  <si>
    <t>제13조【분쟁해결 등】</t>
    <phoneticPr fontId="6" type="noConversion"/>
  </si>
  <si>
    <t>본 계약의 해석이나 이행에 관하여 양 당사자간 분쟁이 발생한 경우 양 당사자는 합의를 통해 원</t>
    <phoneticPr fontId="6" type="noConversion"/>
  </si>
  <si>
    <t>만히 이를 해결하기로 한다. 단, 합의가 이루어지지 아니한 경우에는 서울중앙지방법원을 제1심의</t>
    <phoneticPr fontId="6" type="noConversion"/>
  </si>
  <si>
    <t>전속적 합의관할법원으로 하여 소송을 통해 분쟁을 해결한다.</t>
    <phoneticPr fontId="6" type="noConversion"/>
  </si>
  <si>
    <t>위 사실을 증명하기 위하여 본 계약서 2부를 작성하여 위임인과 수임인이 기명날인 하고 각 1부</t>
    <phoneticPr fontId="6" type="noConversion"/>
  </si>
  <si>
    <t>씩 보관한다.</t>
    <phoneticPr fontId="6" type="noConversion"/>
  </si>
  <si>
    <t>[별첨1] 업무기술서</t>
    <phoneticPr fontId="6" type="noConversion"/>
  </si>
  <si>
    <t>[별첨2] 용역 보수 산정 근거</t>
    <phoneticPr fontId="6" type="noConversion"/>
  </si>
  <si>
    <t>[별첨3] 개인정보처리위탁계약서</t>
    <phoneticPr fontId="6" type="noConversion"/>
  </si>
  <si>
    <t>업무
수행영역</t>
    <phoneticPr fontId="6" type="noConversion"/>
  </si>
  <si>
    <t>세부 업무</t>
    <phoneticPr fontId="6" type="noConversion"/>
  </si>
  <si>
    <t>영업/판매</t>
    <phoneticPr fontId="4" type="noConversion"/>
  </si>
  <si>
    <t>고객 상담, 계약 및 주문, 납품관리, 결제 관리 등 영업/판매 전반적인 업무</t>
    <phoneticPr fontId="4" type="noConversion"/>
  </si>
  <si>
    <t>관리</t>
    <phoneticPr fontId="4" type="noConversion"/>
  </si>
  <si>
    <t>매장 내 전시 제품 관리</t>
    <phoneticPr fontId="4" type="noConversion"/>
  </si>
  <si>
    <t>매장 내외부 전시 환경 관리</t>
    <phoneticPr fontId="4" type="noConversion"/>
  </si>
  <si>
    <t>[별첨2] 용역 보수 산정 근거</t>
    <phoneticPr fontId="19" type="noConversion"/>
  </si>
  <si>
    <t xml:space="preserve">■ 2025년 노원점 용역보수(잠정) 산정 </t>
    <phoneticPr fontId="4" type="noConversion"/>
  </si>
  <si>
    <t>2025년</t>
    <phoneticPr fontId="4" type="noConversion"/>
  </si>
  <si>
    <t>1~10월</t>
    <phoneticPr fontId="4" type="noConversion"/>
  </si>
  <si>
    <t>11~12월</t>
    <phoneticPr fontId="4" type="noConversion"/>
  </si>
  <si>
    <t>년 계</t>
    <phoneticPr fontId="4" type="noConversion"/>
  </si>
  <si>
    <t>월 기준</t>
    <phoneticPr fontId="4" type="noConversion"/>
  </si>
  <si>
    <t>용역보수</t>
    <phoneticPr fontId="4" type="noConversion"/>
  </si>
  <si>
    <t>1.66억</t>
    <phoneticPr fontId="4" type="noConversion"/>
  </si>
  <si>
    <t>0.34억</t>
    <phoneticPr fontId="4" type="noConversion"/>
  </si>
  <si>
    <t>2억</t>
    <phoneticPr fontId="4" type="noConversion"/>
  </si>
  <si>
    <t>1667만</t>
    <phoneticPr fontId="4" type="noConversion"/>
  </si>
  <si>
    <r>
      <t xml:space="preserve">■ 당년도(2025년) 노원점 총 용역보수액의 </t>
    </r>
    <r>
      <rPr>
        <b/>
        <u/>
        <sz val="11"/>
        <color theme="1"/>
        <rFont val="맑은 고딕"/>
        <family val="3"/>
        <charset val="129"/>
        <scheme val="minor"/>
      </rPr>
      <t>15% 비중</t>
    </r>
    <r>
      <rPr>
        <b/>
        <sz val="11"/>
        <color theme="1"/>
        <rFont val="맑은 고딕"/>
        <family val="3"/>
        <charset val="129"/>
        <scheme val="minor"/>
      </rPr>
      <t>으로 안분</t>
    </r>
    <phoneticPr fontId="4" type="noConversion"/>
  </si>
  <si>
    <t>■ 보수 산정 결과</t>
    <phoneticPr fontId="19" type="noConversion"/>
  </si>
  <si>
    <t>법인명</t>
    <phoneticPr fontId="4" type="noConversion"/>
  </si>
  <si>
    <t>비고</t>
    <phoneticPr fontId="4" type="noConversion"/>
  </si>
  <si>
    <t>용역보수 기준</t>
    <phoneticPr fontId="4" type="noConversion"/>
  </si>
  <si>
    <t>안분기준</t>
    <phoneticPr fontId="4" type="noConversion"/>
  </si>
  <si>
    <t>매장방문객중 소파상담비중(30%)의 50%</t>
    <phoneticPr fontId="4" type="noConversion"/>
  </si>
  <si>
    <t>시디즈 용역산정액</t>
    <phoneticPr fontId="4" type="noConversion"/>
  </si>
  <si>
    <t>3000만</t>
    <phoneticPr fontId="4" type="noConversion"/>
  </si>
  <si>
    <t>250만</t>
    <phoneticPr fontId="4" type="noConversion"/>
  </si>
  <si>
    <t>2024년</t>
  </si>
  <si>
    <t>(단위 : 원)</t>
  </si>
  <si>
    <t>법인</t>
  </si>
  <si>
    <t>매출액</t>
  </si>
  <si>
    <t>비율</t>
  </si>
  <si>
    <t>비고</t>
  </si>
  <si>
    <t>퍼시스</t>
  </si>
  <si>
    <t>일룸</t>
  </si>
  <si>
    <t>시디즈</t>
  </si>
  <si>
    <t>바로스</t>
  </si>
  <si>
    <t>퍼시스홀딩스</t>
  </si>
  <si>
    <t>합  계</t>
  </si>
  <si>
    <t>개인정보처리 위탁 계약서</t>
    <phoneticPr fontId="6" type="noConversion"/>
  </si>
  <si>
    <t xml:space="preserve">위탁자의 개인정보 처리업무를 수탁자에게 위탁함에 있어 다음과 같은 내용으로 본 업무 </t>
    <phoneticPr fontId="6" type="noConversion"/>
  </si>
  <si>
    <t>위탁계약을 체결한다.</t>
    <phoneticPr fontId="6" type="noConversion"/>
  </si>
  <si>
    <t>이 계약은 위탁자가 개인정보처리업무를 수탁자에게 위탁하고, 수탁자는 이를 승낙하여 수탁자의</t>
    <phoneticPr fontId="6" type="noConversion"/>
  </si>
  <si>
    <t>책임아래 성실하게 업무를 완성하도록 하는데 필요한 사항을 정함을 목적으로 한다.</t>
    <phoneticPr fontId="6" type="noConversion"/>
  </si>
  <si>
    <t>제2조【용어의 정의】</t>
    <phoneticPr fontId="6" type="noConversion"/>
  </si>
  <si>
    <t>본 계약에서 별도로 정의되지 아니한 용어는「개인정보 보호법」, 같은 법 시행령 및 시행규칙,</t>
    <phoneticPr fontId="6" type="noConversion"/>
  </si>
  <si>
    <t>「개인정보의 안전성 확보조치 기준」(행정안전부 고시 제2019-47호) 및「표준 개인정보 보호지침」</t>
    <phoneticPr fontId="6" type="noConversion"/>
  </si>
  <si>
    <t xml:space="preserve">(행정안전부 고시 제2017-1호)에서 정의된 바에 따른다. </t>
    <phoneticPr fontId="6" type="noConversion"/>
  </si>
  <si>
    <t>제3조【위탁업무의 목적 및 범위】</t>
    <phoneticPr fontId="6" type="noConversion"/>
  </si>
  <si>
    <t>수탁자는 계약이 정하는 바에 따라 관리부문에 대한 서비스 제공을 목적으로 개인정보처리 업무를</t>
    <phoneticPr fontId="6" type="noConversion"/>
  </si>
  <si>
    <t>수행한다.</t>
    <phoneticPr fontId="6" type="noConversion"/>
  </si>
  <si>
    <t>제4조【위탁업무 기간】</t>
    <phoneticPr fontId="6" type="noConversion"/>
  </si>
  <si>
    <t>이 계약서에 의한 개인정보 처리업무의 기간은 다음과 같다.</t>
    <phoneticPr fontId="6" type="noConversion"/>
  </si>
  <si>
    <t xml:space="preserve"> - 계약기간 : 2025.11.21 ~ 2025.12.31</t>
    <phoneticPr fontId="4" type="noConversion"/>
  </si>
  <si>
    <t>제5조【재위탁 제한】</t>
    <phoneticPr fontId="6" type="noConversion"/>
  </si>
  <si>
    <t>① 수탁자는 위탁자의 사전 승낙을 얻은 경우를 제외하고 위탁자와의 계약상의 권리와 의무의 전부</t>
    <phoneticPr fontId="6" type="noConversion"/>
  </si>
  <si>
    <t xml:space="preserve">   또는 일부를 제3자에게 양도하거나 재위탁할 수 없다.</t>
    <phoneticPr fontId="6" type="noConversion"/>
  </si>
  <si>
    <t>② 수탁자가 다른 제3의 회사와 수탁계약을 할 경우에는 수탁자는 해당 사실을 계약 체결 7일 이전</t>
    <phoneticPr fontId="6" type="noConversion"/>
  </si>
  <si>
    <t xml:space="preserve">   에 위탁자에게 통보하고 협의하여야 한다.</t>
    <phoneticPr fontId="6" type="noConversion"/>
  </si>
  <si>
    <t>제6조【개인정보의 안전성 확보조치】</t>
    <phoneticPr fontId="6" type="noConversion"/>
  </si>
  <si>
    <t>수탁자는「개인정보 보호법」제23조제2항 및 제24조제3항 및 제29조, 같은 법 시행령 제21조 및 제</t>
    <phoneticPr fontId="6" type="noConversion"/>
  </si>
  <si>
    <t>30조, 「개인정보의 안전성 확보조치 기준」(행정안전부 고시 제2019-47호)에 따라 개인정보의 안</t>
    <phoneticPr fontId="6" type="noConversion"/>
  </si>
  <si>
    <t>전성 확보에 필요한 관리적,기술적 조치를 취하여야 한다.</t>
    <phoneticPr fontId="6" type="noConversion"/>
  </si>
  <si>
    <t>제7조【개인정보의 처리제한】</t>
    <phoneticPr fontId="6" type="noConversion"/>
  </si>
  <si>
    <t>① 수탁자는 계약기간은 물론 계약 종료 후에도 위탁업무 수행 목적 범위를 넘어 개인정보를 이용</t>
    <phoneticPr fontId="6" type="noConversion"/>
  </si>
  <si>
    <t xml:space="preserve">   하거나 이를 제3자에게 제공 또는 누설하여서는 안 된다.</t>
    <phoneticPr fontId="6" type="noConversion"/>
  </si>
  <si>
    <t>② 수탁자는 계약이 해지되거나 또는 계약기간이 만료된 경우 위탁업무와 관련하여 보유하고 있는</t>
    <phoneticPr fontId="6" type="noConversion"/>
  </si>
  <si>
    <t xml:space="preserve">   개인정보를 「개인정보 보호법」시행령 제16조 및「개인정보의 안전성 확보조치 기준」(행정안</t>
    <phoneticPr fontId="6" type="noConversion"/>
  </si>
  <si>
    <t xml:space="preserve">   전부 고시 제2019-47호)에 따라 즉시 파기하거나 위탁자에게 반납하여야 한다.</t>
    <phoneticPr fontId="6" type="noConversion"/>
  </si>
  <si>
    <t>③ 제2항에 따라 수탁자가 개인정보를 파기한 경우 지체없이 위탁자에게 그 결과를 통보하여야 한</t>
    <phoneticPr fontId="6" type="noConversion"/>
  </si>
  <si>
    <t>제8조【수탁자에 대한 관리·감독 등】</t>
    <phoneticPr fontId="6" type="noConversion"/>
  </si>
  <si>
    <t>① 위탁자는 수탁자에 대하여 다음 각 호의 사항을 감독할 수 있으며, 수탁자는 특별한 사유가 없</t>
    <phoneticPr fontId="6" type="noConversion"/>
  </si>
  <si>
    <t xml:space="preserve">   는 한 이에 응하여야 한다.</t>
    <phoneticPr fontId="6" type="noConversion"/>
  </si>
  <si>
    <t xml:space="preserve">     1. 개인정보의 처리 현황</t>
    <phoneticPr fontId="6" type="noConversion"/>
  </si>
  <si>
    <t xml:space="preserve">     2. 개인정보의 접근 또는 접속 현황</t>
    <phoneticPr fontId="6" type="noConversion"/>
  </si>
  <si>
    <t xml:space="preserve">     3. 개인정보 접근 또는 접속 대상자</t>
    <phoneticPr fontId="6" type="noConversion"/>
  </si>
  <si>
    <t xml:space="preserve">     4. 목적외 이용, 제공 및 재위탁 금지 준수 여부</t>
    <phoneticPr fontId="6" type="noConversion"/>
  </si>
  <si>
    <t xml:space="preserve">     5. 암호화 등 안전성 확보조치 이행여부</t>
    <phoneticPr fontId="6" type="noConversion"/>
  </si>
  <si>
    <t xml:space="preserve">     6. 그 밖에 개인정보의 보호를 위하여 필요한 사항</t>
    <phoneticPr fontId="6" type="noConversion"/>
  </si>
  <si>
    <t>② 위탁자는 수탁자에 대하여 제1항 각 호의 사항에 대한 실태를 점검하여 시정을 요구할 수 있으</t>
    <phoneticPr fontId="6" type="noConversion"/>
  </si>
  <si>
    <t xml:space="preserve">   며, 수탁자는 특별한 사유가 없는 한 이행하여야 한다.</t>
    <phoneticPr fontId="6" type="noConversion"/>
  </si>
  <si>
    <t xml:space="preserve">③ 위탁자는 처리위탁으로 인하여 정보주체의 개인정보가 분실·도난·유출·변조 또는 훼손되지 </t>
    <phoneticPr fontId="6" type="noConversion"/>
  </si>
  <si>
    <t xml:space="preserve">   아니하도록 1년에 1회 수탁자를 교육할 수 있으며, 수탁자는 이에 응하여야 한다.</t>
    <phoneticPr fontId="6" type="noConversion"/>
  </si>
  <si>
    <t>④ 제3항에 따른 교육의 시기와 방법 등에 대해서는 위탁자는 수탁자와 협의하여 시행한다.</t>
    <phoneticPr fontId="6" type="noConversion"/>
  </si>
  <si>
    <t>제9조【정보주체 권리보장】</t>
    <phoneticPr fontId="6" type="noConversion"/>
  </si>
  <si>
    <t xml:space="preserve">① 수탁자는 정보주체의 개인정보 열람, 정정·삭제, 처리 정지 요청 등에 대응하기 위한 연락처 </t>
    <phoneticPr fontId="6" type="noConversion"/>
  </si>
  <si>
    <t xml:space="preserve">   등 민원 창구를 마련해야 한다</t>
    <phoneticPr fontId="6" type="noConversion"/>
  </si>
  <si>
    <t>제10조【개인정보의 파기】</t>
    <phoneticPr fontId="6" type="noConversion"/>
  </si>
  <si>
    <t>① 수탁자는 제4조의 위탁업무기간이 종료되면 특별한 사유가 없는 한 지체 없이 개인정보를 파기</t>
    <phoneticPr fontId="6" type="noConversion"/>
  </si>
  <si>
    <t xml:space="preserve">   하고 이를 위탁자에게 확인받아야 한다.</t>
    <phoneticPr fontId="6" type="noConversion"/>
  </si>
  <si>
    <t>① 수탁자 또는 수탁자의 임직원 기타 수탁자의 수탁자가 이 계약에 의하여 위탁 또는 재위탁 받은</t>
    <phoneticPr fontId="6" type="noConversion"/>
  </si>
  <si>
    <t xml:space="preserve">   업무를 수행함에 있어 이 계약에 따른 의무를 위반하거나 수탁자 또는 수탁자의 임직원 기타 수</t>
    <phoneticPr fontId="6" type="noConversion"/>
  </si>
  <si>
    <t xml:space="preserve">   탁자의 수탁자의 귀책사유로 인하여 이 계약이 해지되어 위탁자 또는 개인정보주체 기타 제3자</t>
    <phoneticPr fontId="6" type="noConversion"/>
  </si>
  <si>
    <t xml:space="preserve">   에게 손해가 발생한 경우 수탁자는 그 손해를 배상하여야 한다.</t>
    <phoneticPr fontId="6" type="noConversion"/>
  </si>
  <si>
    <t>② 제1항과 관련하여 개인정보주체 기타 제3자에게 발생한 손해에 대하여 위탁자가 전부 또는 일부</t>
    <phoneticPr fontId="6" type="noConversion"/>
  </si>
  <si>
    <t xml:space="preserve">   를 배상한 때에는 위탁자는 이를 수탁자에게 구상할 수 있다. </t>
    <phoneticPr fontId="6" type="noConversion"/>
  </si>
  <si>
    <t>본 계약의 내용을 증명하기 위하여 계약서 2부를 작성하고, 위탁자와 수탁자가 서명 또는 날인한</t>
    <phoneticPr fontId="6" type="noConversion"/>
  </si>
  <si>
    <t>후 각 1부씩 보관한다.</t>
  </si>
  <si>
    <t>(위탁자)</t>
    <phoneticPr fontId="6" type="noConversion"/>
  </si>
  <si>
    <t>(수탁자)</t>
    <phoneticPr fontId="6" type="noConversion"/>
  </si>
  <si>
    <t>서울시 송파구 오금로 311</t>
  </si>
  <si>
    <r>
      <t xml:space="preserve">   (별첨2 산정근거 기준)금액으로 한다. </t>
    </r>
    <r>
      <rPr>
        <sz val="10"/>
        <color rgb="FF0000FF"/>
        <rFont val="돋움체"/>
        <family val="3"/>
        <charset val="129"/>
      </rPr>
      <t xml:space="preserve">용역비는 수임인이 부담한 실제 비용(인건비, 운영비)에 합리적 관리비 및 마진을 더한 정상가격 기준으로 산정한다. </t>
    </r>
    <phoneticPr fontId="6" type="noConversion"/>
  </si>
  <si>
    <t xml:space="preserve">위임인은 수임인 소속 근로자에게 직접 지시, 명령, 평가, 근대 관리를 하지 않으며 위임인의 모든 지시는 수임인이 지정하는 관리자에게 전달한다. </t>
    <phoneticPr fontId="4" type="noConversion"/>
  </si>
  <si>
    <t xml:space="preserve">본 용역은 매장 내 위임인의 제품 판매를 위한 영업관리, 고객응대 프로세스 운영 등 용역 제공을 목적으로 하며 개별 근로자의 노동력을 직접 제공하는 것이 아니다. </t>
    <phoneticPr fontId="4" type="noConversion"/>
  </si>
  <si>
    <t>(업무 기술서의 내용을 최대한 구체적으로 적으시는게 좋습니다)</t>
    <phoneticPr fontId="4" type="noConversion"/>
  </si>
  <si>
    <t>주식회사 일룸</t>
    <phoneticPr fontId="4" type="noConversion"/>
  </si>
  <si>
    <t>대표이사 정보은         (인)</t>
    <phoneticPr fontId="6" type="noConversion"/>
  </si>
  <si>
    <t>(가급적 용역 보수를 어떤 근거로 분배하였는지 분배기준을 적어주시는게 좋습니다)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</si>
</sst>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77" formatCode="0.0%"/>
  </numFmts>
  <fonts count="2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sz val="8"/>
      <name val="맑은 고딕"/>
      <family val="3"/>
      <charset val="129"/>
      <scheme val="minor"/>
    </font>
    <font>
      <b/>
      <sz val="26"/>
      <color theme="1"/>
      <name val="돋움체"/>
      <family val="3"/>
      <charset val="129"/>
    </font>
    <font>
      <sz val="8"/>
      <name val="맑은 고딕"/>
      <family val="3"/>
      <charset val="129"/>
    </font>
    <font>
      <sz val="10"/>
      <name val="돋움체"/>
      <family val="3"/>
      <charset val="129"/>
    </font>
    <font>
      <sz val="9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Tahoma"/>
      <family val="2"/>
      <charset val="129"/>
    </font>
    <font>
      <sz val="12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10"/>
      <color indexed="8"/>
      <name val="돋움체"/>
      <family val="3"/>
      <charset val="129"/>
    </font>
    <font>
      <b/>
      <sz val="10"/>
      <color theme="1"/>
      <name val="돋움체"/>
      <family val="3"/>
      <charset val="129"/>
    </font>
    <font>
      <sz val="10"/>
      <color indexed="8"/>
      <name val="돋움체"/>
      <family val="3"/>
      <charset val="129"/>
    </font>
    <font>
      <b/>
      <u/>
      <sz val="16"/>
      <color theme="1"/>
      <name val="돋움체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돋움체"/>
      <family val="3"/>
      <charset val="129"/>
    </font>
    <font>
      <b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0"/>
      <color rgb="FF0000FF"/>
      <name val="돋움체"/>
      <family val="3"/>
      <charset val="129"/>
    </font>
    <font>
      <sz val="11"/>
      <color rgb="FF0000FF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9" fontId="2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 indent="1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14" fillId="2" borderId="7" xfId="1" applyFont="1" applyFill="1" applyBorder="1" applyAlignment="1">
      <alignment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left" vertical="center"/>
    </xf>
    <xf numFmtId="0" fontId="15" fillId="2" borderId="10" xfId="1" applyFont="1" applyFill="1" applyBorder="1" applyAlignment="1">
      <alignment horizontal="left" vertical="center"/>
    </xf>
    <xf numFmtId="0" fontId="18" fillId="0" borderId="0" xfId="2" applyFont="1">
      <alignment vertical="center"/>
    </xf>
    <xf numFmtId="0" fontId="1" fillId="0" borderId="0" xfId="2">
      <alignment vertical="center"/>
    </xf>
    <xf numFmtId="0" fontId="20" fillId="0" borderId="0" xfId="2" applyFont="1">
      <alignment vertical="center"/>
    </xf>
    <xf numFmtId="0" fontId="2" fillId="0" borderId="0" xfId="2" applyFont="1">
      <alignment vertical="center"/>
    </xf>
    <xf numFmtId="177" fontId="1" fillId="0" borderId="0" xfId="3" applyNumberFormat="1" applyFont="1">
      <alignment vertical="center"/>
    </xf>
    <xf numFmtId="0" fontId="1" fillId="0" borderId="0" xfId="5">
      <alignment vertical="center"/>
    </xf>
    <xf numFmtId="0" fontId="22" fillId="0" borderId="0" xfId="5" applyFont="1" applyAlignment="1">
      <alignment horizontal="right" vertical="center"/>
    </xf>
    <xf numFmtId="0" fontId="20" fillId="3" borderId="13" xfId="5" applyFont="1" applyFill="1" applyBorder="1" applyAlignment="1">
      <alignment horizontal="center" vertical="center"/>
    </xf>
    <xf numFmtId="177" fontId="20" fillId="3" borderId="13" xfId="6" applyNumberFormat="1" applyFont="1" applyFill="1" applyBorder="1" applyAlignment="1">
      <alignment horizontal="center" vertical="center"/>
    </xf>
    <xf numFmtId="0" fontId="2" fillId="0" borderId="13" xfId="5" applyFont="1" applyBorder="1" applyAlignment="1">
      <alignment horizontal="center" vertical="center"/>
    </xf>
    <xf numFmtId="3" fontId="1" fillId="0" borderId="13" xfId="5" applyNumberFormat="1" applyBorder="1">
      <alignment vertical="center"/>
    </xf>
    <xf numFmtId="177" fontId="1" fillId="0" borderId="13" xfId="6" applyNumberFormat="1" applyFont="1" applyBorder="1">
      <alignment vertical="center"/>
    </xf>
    <xf numFmtId="0" fontId="1" fillId="0" borderId="13" xfId="5" applyBorder="1">
      <alignment vertical="center"/>
    </xf>
    <xf numFmtId="177" fontId="1" fillId="0" borderId="1" xfId="6" applyNumberFormat="1" applyFont="1" applyBorder="1">
      <alignment vertical="center"/>
    </xf>
    <xf numFmtId="0" fontId="17" fillId="0" borderId="13" xfId="5" applyFont="1" applyBorder="1">
      <alignment vertical="center"/>
    </xf>
    <xf numFmtId="0" fontId="2" fillId="4" borderId="16" xfId="5" applyFont="1" applyFill="1" applyBorder="1" applyAlignment="1">
      <alignment horizontal="center" vertical="center"/>
    </xf>
    <xf numFmtId="3" fontId="1" fillId="4" borderId="16" xfId="5" applyNumberFormat="1" applyFill="1" applyBorder="1">
      <alignment vertical="center"/>
    </xf>
    <xf numFmtId="177" fontId="1" fillId="4" borderId="16" xfId="6" applyNumberFormat="1" applyFont="1" applyFill="1" applyBorder="1">
      <alignment vertical="center"/>
    </xf>
    <xf numFmtId="0" fontId="23" fillId="2" borderId="0" xfId="1" applyFont="1" applyFill="1" applyAlignment="1">
      <alignment horizontal="left" vertical="center"/>
    </xf>
    <xf numFmtId="0" fontId="21" fillId="0" borderId="0" xfId="4">
      <alignment vertical="center"/>
    </xf>
    <xf numFmtId="0" fontId="0" fillId="0" borderId="13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4" fillId="0" borderId="13" xfId="2" applyFont="1" applyBorder="1" applyAlignment="1">
      <alignment horizontal="center" vertical="center"/>
    </xf>
    <xf numFmtId="0" fontId="20" fillId="0" borderId="13" xfId="2" applyFont="1" applyBorder="1" applyAlignment="1">
      <alignment horizontal="center" vertical="center"/>
    </xf>
    <xf numFmtId="3" fontId="1" fillId="0" borderId="0" xfId="2" applyNumberFormat="1">
      <alignment vertical="center"/>
    </xf>
    <xf numFmtId="177" fontId="1" fillId="0" borderId="0" xfId="3" applyNumberFormat="1" applyFont="1" applyBorder="1">
      <alignment vertical="center"/>
    </xf>
    <xf numFmtId="0" fontId="1" fillId="0" borderId="0" xfId="2" applyAlignment="1">
      <alignment horizontal="center" vertical="center"/>
    </xf>
    <xf numFmtId="0" fontId="1" fillId="0" borderId="0" xfId="5" applyAlignment="1">
      <alignment vertical="center" shrinkToFit="1"/>
    </xf>
    <xf numFmtId="0" fontId="1" fillId="0" borderId="0" xfId="5" applyAlignment="1">
      <alignment horizontal="center" vertical="center"/>
    </xf>
    <xf numFmtId="3" fontId="1" fillId="0" borderId="0" xfId="2" applyNumberFormat="1" applyAlignment="1">
      <alignment horizontal="center" vertical="center"/>
    </xf>
    <xf numFmtId="3" fontId="1" fillId="0" borderId="0" xfId="2" applyNumberForma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3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2" borderId="9" xfId="1" applyFont="1" applyFill="1" applyBorder="1" applyAlignment="1">
      <alignment horizontal="left" vertical="center"/>
    </xf>
    <xf numFmtId="0" fontId="15" fillId="2" borderId="10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14" fillId="2" borderId="12" xfId="1" applyFont="1" applyFill="1" applyBorder="1" applyAlignment="1">
      <alignment horizontal="center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3" fontId="1" fillId="0" borderId="0" xfId="2" applyNumberFormat="1" applyAlignment="1">
      <alignment horizontal="center" vertical="center"/>
    </xf>
    <xf numFmtId="0" fontId="20" fillId="0" borderId="14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21" fillId="0" borderId="0" xfId="4" applyAlignment="1">
      <alignment horizontal="left" vertical="center"/>
    </xf>
    <xf numFmtId="9" fontId="2" fillId="0" borderId="14" xfId="2" applyNumberFormat="1" applyFont="1" applyBorder="1" applyAlignment="1">
      <alignment horizontal="center" vertical="center"/>
    </xf>
    <xf numFmtId="9" fontId="2" fillId="0" borderId="15" xfId="2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2" borderId="9" xfId="1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27" fillId="0" borderId="0" xfId="2" applyFont="1">
      <alignment vertical="center"/>
    </xf>
  </cellXfs>
  <cellStyles count="7">
    <cellStyle name="백분율 2" xfId="3" xr:uid="{96F32613-1EEE-41CE-A897-5E32F16DD879}"/>
    <cellStyle name="백분율 3" xfId="6" xr:uid="{AB1750A8-0B01-4F46-BC13-E35CC1F12055}"/>
    <cellStyle name="표준" xfId="0" builtinId="0"/>
    <cellStyle name="표준 2" xfId="1" xr:uid="{E06001A9-DC66-466F-B179-16B5346CD55F}"/>
    <cellStyle name="표준 3" xfId="4" xr:uid="{7228D4CA-AD7D-4FA4-A496-E791160410C1}"/>
    <cellStyle name="표준 3 2 2" xfId="5" xr:uid="{2FE6269A-C526-4F21-A6FA-8B0A842BEC0E}"/>
    <cellStyle name="표준 3 3" xfId="2" xr:uid="{63A372EF-5E67-4B32-AD69-266D133B01F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sys_nt\&#44288;&#47532;&#54016;&#51109;\&#50976;&#50689;&#54616;\&#51116;&#47924;&#54924;&#44228;\&#44208;&#49328;&#48372;&#44256;&#49436;\1999&#45380;\&#47749;&#49464;&#49436;\&#44048;&#44032;&#49345;&#44033;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6949h/Downloads/&#52392;&#48512;2.&#54140;&#49884;&#49828;&#54848;&#46377;&#49828;%20&#50857;&#50669;&#44228;&#50557;&#49436;(25&#45380;&#49328;&#5122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가상각비 명세서"/>
      <sheetName val="건물"/>
      <sheetName val="구축물"/>
      <sheetName val="기계장치"/>
      <sheetName val="차량운반구"/>
      <sheetName val="공구기구"/>
      <sheetName val="비품"/>
      <sheetName val="Sheet1"/>
      <sheetName val="잔존상각명세서"/>
      <sheetName val="무형자산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데이터"/>
      <sheetName val="업무기술서(전체)"/>
      <sheetName val="잠정용역보수산정근거(공통)"/>
      <sheetName val="퍼시스_용역계약서"/>
      <sheetName val="퍼시스_업무기술서_mm추가"/>
      <sheetName val="퍼시스_업무기술서"/>
      <sheetName val="퍼시스_개인정보"/>
      <sheetName val="시디즈_용역계약서"/>
      <sheetName val="시디즈_업무기술서 "/>
      <sheetName val="시디즈_개인정보"/>
      <sheetName val="일룸_용역계약서"/>
      <sheetName val="일룸_업무기술서"/>
      <sheetName val="일룸_개인정보"/>
      <sheetName val="바로스_용역계약서"/>
      <sheetName val="바로스_업무기술서"/>
      <sheetName val="바로스_개인정보"/>
      <sheetName val="확정용역보수산정근거"/>
      <sheetName val="퍼시스_정산합의서"/>
      <sheetName val="시디즈_정산합의서"/>
      <sheetName val="일룸_정산합의서"/>
      <sheetName val="바로스_정산합의서"/>
    </sheetNames>
    <sheetDataSet>
      <sheetData sheetId="0">
        <row r="4">
          <cell r="A4">
            <v>45747</v>
          </cell>
        </row>
        <row r="12">
          <cell r="C12" t="str">
            <v>경기도 평택시 세교산단로 67-20</v>
          </cell>
        </row>
        <row r="13">
          <cell r="C13" t="str">
            <v>주식회사 시디즈</v>
          </cell>
        </row>
        <row r="14">
          <cell r="C14" t="str">
            <v>대표이사 김태은</v>
          </cell>
        </row>
        <row r="15">
          <cell r="D15" t="str">
            <v>25일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68D0-EE40-44A3-9242-E709E539E763}">
  <sheetPr>
    <tabColor theme="8" tint="0.79998168889431442"/>
    <pageSetUpPr fitToPage="1"/>
  </sheetPr>
  <dimension ref="A1:G137"/>
  <sheetViews>
    <sheetView showGridLines="0" tabSelected="1" view="pageBreakPreview" topLeftCell="A34" zoomScaleNormal="100" zoomScaleSheetLayoutView="100" workbookViewId="0">
      <selection activeCell="B44" sqref="B44"/>
    </sheetView>
  </sheetViews>
  <sheetFormatPr defaultColWidth="9" defaultRowHeight="13.2" x14ac:dyDescent="0.4"/>
  <cols>
    <col min="1" max="1" width="4.5" style="1" customWidth="1"/>
    <col min="2" max="2" width="8.09765625" style="1" customWidth="1"/>
    <col min="3" max="3" width="29.59765625" style="1" customWidth="1"/>
    <col min="4" max="4" width="4.19921875" style="1" customWidth="1"/>
    <col min="5" max="5" width="8.09765625" style="1" customWidth="1"/>
    <col min="6" max="6" width="30.09765625" style="1" customWidth="1"/>
    <col min="7" max="7" width="4.5" style="1" customWidth="1"/>
    <col min="8" max="256" width="9" style="1"/>
    <col min="257" max="257" width="4.5" style="1" customWidth="1"/>
    <col min="258" max="258" width="8.09765625" style="1" customWidth="1"/>
    <col min="259" max="259" width="29.59765625" style="1" customWidth="1"/>
    <col min="260" max="260" width="4.19921875" style="1" customWidth="1"/>
    <col min="261" max="261" width="8.09765625" style="1" customWidth="1"/>
    <col min="262" max="262" width="30.09765625" style="1" customWidth="1"/>
    <col min="263" max="263" width="4.5" style="1" customWidth="1"/>
    <col min="264" max="512" width="9" style="1"/>
    <col min="513" max="513" width="4.5" style="1" customWidth="1"/>
    <col min="514" max="514" width="8.09765625" style="1" customWidth="1"/>
    <col min="515" max="515" width="29.59765625" style="1" customWidth="1"/>
    <col min="516" max="516" width="4.19921875" style="1" customWidth="1"/>
    <col min="517" max="517" width="8.09765625" style="1" customWidth="1"/>
    <col min="518" max="518" width="30.09765625" style="1" customWidth="1"/>
    <col min="519" max="519" width="4.5" style="1" customWidth="1"/>
    <col min="520" max="768" width="9" style="1"/>
    <col min="769" max="769" width="4.5" style="1" customWidth="1"/>
    <col min="770" max="770" width="8.09765625" style="1" customWidth="1"/>
    <col min="771" max="771" width="29.59765625" style="1" customWidth="1"/>
    <col min="772" max="772" width="4.19921875" style="1" customWidth="1"/>
    <col min="773" max="773" width="8.09765625" style="1" customWidth="1"/>
    <col min="774" max="774" width="30.09765625" style="1" customWidth="1"/>
    <col min="775" max="775" width="4.5" style="1" customWidth="1"/>
    <col min="776" max="1024" width="9" style="1"/>
    <col min="1025" max="1025" width="4.5" style="1" customWidth="1"/>
    <col min="1026" max="1026" width="8.09765625" style="1" customWidth="1"/>
    <col min="1027" max="1027" width="29.59765625" style="1" customWidth="1"/>
    <col min="1028" max="1028" width="4.19921875" style="1" customWidth="1"/>
    <col min="1029" max="1029" width="8.09765625" style="1" customWidth="1"/>
    <col min="1030" max="1030" width="30.09765625" style="1" customWidth="1"/>
    <col min="1031" max="1031" width="4.5" style="1" customWidth="1"/>
    <col min="1032" max="1280" width="9" style="1"/>
    <col min="1281" max="1281" width="4.5" style="1" customWidth="1"/>
    <col min="1282" max="1282" width="8.09765625" style="1" customWidth="1"/>
    <col min="1283" max="1283" width="29.59765625" style="1" customWidth="1"/>
    <col min="1284" max="1284" width="4.19921875" style="1" customWidth="1"/>
    <col min="1285" max="1285" width="8.09765625" style="1" customWidth="1"/>
    <col min="1286" max="1286" width="30.09765625" style="1" customWidth="1"/>
    <col min="1287" max="1287" width="4.5" style="1" customWidth="1"/>
    <col min="1288" max="1536" width="9" style="1"/>
    <col min="1537" max="1537" width="4.5" style="1" customWidth="1"/>
    <col min="1538" max="1538" width="8.09765625" style="1" customWidth="1"/>
    <col min="1539" max="1539" width="29.59765625" style="1" customWidth="1"/>
    <col min="1540" max="1540" width="4.19921875" style="1" customWidth="1"/>
    <col min="1541" max="1541" width="8.09765625" style="1" customWidth="1"/>
    <col min="1542" max="1542" width="30.09765625" style="1" customWidth="1"/>
    <col min="1543" max="1543" width="4.5" style="1" customWidth="1"/>
    <col min="1544" max="1792" width="9" style="1"/>
    <col min="1793" max="1793" width="4.5" style="1" customWidth="1"/>
    <col min="1794" max="1794" width="8.09765625" style="1" customWidth="1"/>
    <col min="1795" max="1795" width="29.59765625" style="1" customWidth="1"/>
    <col min="1796" max="1796" width="4.19921875" style="1" customWidth="1"/>
    <col min="1797" max="1797" width="8.09765625" style="1" customWidth="1"/>
    <col min="1798" max="1798" width="30.09765625" style="1" customWidth="1"/>
    <col min="1799" max="1799" width="4.5" style="1" customWidth="1"/>
    <col min="1800" max="2048" width="9" style="1"/>
    <col min="2049" max="2049" width="4.5" style="1" customWidth="1"/>
    <col min="2050" max="2050" width="8.09765625" style="1" customWidth="1"/>
    <col min="2051" max="2051" width="29.59765625" style="1" customWidth="1"/>
    <col min="2052" max="2052" width="4.19921875" style="1" customWidth="1"/>
    <col min="2053" max="2053" width="8.09765625" style="1" customWidth="1"/>
    <col min="2054" max="2054" width="30.09765625" style="1" customWidth="1"/>
    <col min="2055" max="2055" width="4.5" style="1" customWidth="1"/>
    <col min="2056" max="2304" width="9" style="1"/>
    <col min="2305" max="2305" width="4.5" style="1" customWidth="1"/>
    <col min="2306" max="2306" width="8.09765625" style="1" customWidth="1"/>
    <col min="2307" max="2307" width="29.59765625" style="1" customWidth="1"/>
    <col min="2308" max="2308" width="4.19921875" style="1" customWidth="1"/>
    <col min="2309" max="2309" width="8.09765625" style="1" customWidth="1"/>
    <col min="2310" max="2310" width="30.09765625" style="1" customWidth="1"/>
    <col min="2311" max="2311" width="4.5" style="1" customWidth="1"/>
    <col min="2312" max="2560" width="9" style="1"/>
    <col min="2561" max="2561" width="4.5" style="1" customWidth="1"/>
    <col min="2562" max="2562" width="8.09765625" style="1" customWidth="1"/>
    <col min="2563" max="2563" width="29.59765625" style="1" customWidth="1"/>
    <col min="2564" max="2564" width="4.19921875" style="1" customWidth="1"/>
    <col min="2565" max="2565" width="8.09765625" style="1" customWidth="1"/>
    <col min="2566" max="2566" width="30.09765625" style="1" customWidth="1"/>
    <col min="2567" max="2567" width="4.5" style="1" customWidth="1"/>
    <col min="2568" max="2816" width="9" style="1"/>
    <col min="2817" max="2817" width="4.5" style="1" customWidth="1"/>
    <col min="2818" max="2818" width="8.09765625" style="1" customWidth="1"/>
    <col min="2819" max="2819" width="29.59765625" style="1" customWidth="1"/>
    <col min="2820" max="2820" width="4.19921875" style="1" customWidth="1"/>
    <col min="2821" max="2821" width="8.09765625" style="1" customWidth="1"/>
    <col min="2822" max="2822" width="30.09765625" style="1" customWidth="1"/>
    <col min="2823" max="2823" width="4.5" style="1" customWidth="1"/>
    <col min="2824" max="3072" width="9" style="1"/>
    <col min="3073" max="3073" width="4.5" style="1" customWidth="1"/>
    <col min="3074" max="3074" width="8.09765625" style="1" customWidth="1"/>
    <col min="3075" max="3075" width="29.59765625" style="1" customWidth="1"/>
    <col min="3076" max="3076" width="4.19921875" style="1" customWidth="1"/>
    <col min="3077" max="3077" width="8.09765625" style="1" customWidth="1"/>
    <col min="3078" max="3078" width="30.09765625" style="1" customWidth="1"/>
    <col min="3079" max="3079" width="4.5" style="1" customWidth="1"/>
    <col min="3080" max="3328" width="9" style="1"/>
    <col min="3329" max="3329" width="4.5" style="1" customWidth="1"/>
    <col min="3330" max="3330" width="8.09765625" style="1" customWidth="1"/>
    <col min="3331" max="3331" width="29.59765625" style="1" customWidth="1"/>
    <col min="3332" max="3332" width="4.19921875" style="1" customWidth="1"/>
    <col min="3333" max="3333" width="8.09765625" style="1" customWidth="1"/>
    <col min="3334" max="3334" width="30.09765625" style="1" customWidth="1"/>
    <col min="3335" max="3335" width="4.5" style="1" customWidth="1"/>
    <col min="3336" max="3584" width="9" style="1"/>
    <col min="3585" max="3585" width="4.5" style="1" customWidth="1"/>
    <col min="3586" max="3586" width="8.09765625" style="1" customWidth="1"/>
    <col min="3587" max="3587" width="29.59765625" style="1" customWidth="1"/>
    <col min="3588" max="3588" width="4.19921875" style="1" customWidth="1"/>
    <col min="3589" max="3589" width="8.09765625" style="1" customWidth="1"/>
    <col min="3590" max="3590" width="30.09765625" style="1" customWidth="1"/>
    <col min="3591" max="3591" width="4.5" style="1" customWidth="1"/>
    <col min="3592" max="3840" width="9" style="1"/>
    <col min="3841" max="3841" width="4.5" style="1" customWidth="1"/>
    <col min="3842" max="3842" width="8.09765625" style="1" customWidth="1"/>
    <col min="3843" max="3843" width="29.59765625" style="1" customWidth="1"/>
    <col min="3844" max="3844" width="4.19921875" style="1" customWidth="1"/>
    <col min="3845" max="3845" width="8.09765625" style="1" customWidth="1"/>
    <col min="3846" max="3846" width="30.09765625" style="1" customWidth="1"/>
    <col min="3847" max="3847" width="4.5" style="1" customWidth="1"/>
    <col min="3848" max="4096" width="9" style="1"/>
    <col min="4097" max="4097" width="4.5" style="1" customWidth="1"/>
    <col min="4098" max="4098" width="8.09765625" style="1" customWidth="1"/>
    <col min="4099" max="4099" width="29.59765625" style="1" customWidth="1"/>
    <col min="4100" max="4100" width="4.19921875" style="1" customWidth="1"/>
    <col min="4101" max="4101" width="8.09765625" style="1" customWidth="1"/>
    <col min="4102" max="4102" width="30.09765625" style="1" customWidth="1"/>
    <col min="4103" max="4103" width="4.5" style="1" customWidth="1"/>
    <col min="4104" max="4352" width="9" style="1"/>
    <col min="4353" max="4353" width="4.5" style="1" customWidth="1"/>
    <col min="4354" max="4354" width="8.09765625" style="1" customWidth="1"/>
    <col min="4355" max="4355" width="29.59765625" style="1" customWidth="1"/>
    <col min="4356" max="4356" width="4.19921875" style="1" customWidth="1"/>
    <col min="4357" max="4357" width="8.09765625" style="1" customWidth="1"/>
    <col min="4358" max="4358" width="30.09765625" style="1" customWidth="1"/>
    <col min="4359" max="4359" width="4.5" style="1" customWidth="1"/>
    <col min="4360" max="4608" width="9" style="1"/>
    <col min="4609" max="4609" width="4.5" style="1" customWidth="1"/>
    <col min="4610" max="4610" width="8.09765625" style="1" customWidth="1"/>
    <col min="4611" max="4611" width="29.59765625" style="1" customWidth="1"/>
    <col min="4612" max="4612" width="4.19921875" style="1" customWidth="1"/>
    <col min="4613" max="4613" width="8.09765625" style="1" customWidth="1"/>
    <col min="4614" max="4614" width="30.09765625" style="1" customWidth="1"/>
    <col min="4615" max="4615" width="4.5" style="1" customWidth="1"/>
    <col min="4616" max="4864" width="9" style="1"/>
    <col min="4865" max="4865" width="4.5" style="1" customWidth="1"/>
    <col min="4866" max="4866" width="8.09765625" style="1" customWidth="1"/>
    <col min="4867" max="4867" width="29.59765625" style="1" customWidth="1"/>
    <col min="4868" max="4868" width="4.19921875" style="1" customWidth="1"/>
    <col min="4869" max="4869" width="8.09765625" style="1" customWidth="1"/>
    <col min="4870" max="4870" width="30.09765625" style="1" customWidth="1"/>
    <col min="4871" max="4871" width="4.5" style="1" customWidth="1"/>
    <col min="4872" max="5120" width="9" style="1"/>
    <col min="5121" max="5121" width="4.5" style="1" customWidth="1"/>
    <col min="5122" max="5122" width="8.09765625" style="1" customWidth="1"/>
    <col min="5123" max="5123" width="29.59765625" style="1" customWidth="1"/>
    <col min="5124" max="5124" width="4.19921875" style="1" customWidth="1"/>
    <col min="5125" max="5125" width="8.09765625" style="1" customWidth="1"/>
    <col min="5126" max="5126" width="30.09765625" style="1" customWidth="1"/>
    <col min="5127" max="5127" width="4.5" style="1" customWidth="1"/>
    <col min="5128" max="5376" width="9" style="1"/>
    <col min="5377" max="5377" width="4.5" style="1" customWidth="1"/>
    <col min="5378" max="5378" width="8.09765625" style="1" customWidth="1"/>
    <col min="5379" max="5379" width="29.59765625" style="1" customWidth="1"/>
    <col min="5380" max="5380" width="4.19921875" style="1" customWidth="1"/>
    <col min="5381" max="5381" width="8.09765625" style="1" customWidth="1"/>
    <col min="5382" max="5382" width="30.09765625" style="1" customWidth="1"/>
    <col min="5383" max="5383" width="4.5" style="1" customWidth="1"/>
    <col min="5384" max="5632" width="9" style="1"/>
    <col min="5633" max="5633" width="4.5" style="1" customWidth="1"/>
    <col min="5634" max="5634" width="8.09765625" style="1" customWidth="1"/>
    <col min="5635" max="5635" width="29.59765625" style="1" customWidth="1"/>
    <col min="5636" max="5636" width="4.19921875" style="1" customWidth="1"/>
    <col min="5637" max="5637" width="8.09765625" style="1" customWidth="1"/>
    <col min="5638" max="5638" width="30.09765625" style="1" customWidth="1"/>
    <col min="5639" max="5639" width="4.5" style="1" customWidth="1"/>
    <col min="5640" max="5888" width="9" style="1"/>
    <col min="5889" max="5889" width="4.5" style="1" customWidth="1"/>
    <col min="5890" max="5890" width="8.09765625" style="1" customWidth="1"/>
    <col min="5891" max="5891" width="29.59765625" style="1" customWidth="1"/>
    <col min="5892" max="5892" width="4.19921875" style="1" customWidth="1"/>
    <col min="5893" max="5893" width="8.09765625" style="1" customWidth="1"/>
    <col min="5894" max="5894" width="30.09765625" style="1" customWidth="1"/>
    <col min="5895" max="5895" width="4.5" style="1" customWidth="1"/>
    <col min="5896" max="6144" width="9" style="1"/>
    <col min="6145" max="6145" width="4.5" style="1" customWidth="1"/>
    <col min="6146" max="6146" width="8.09765625" style="1" customWidth="1"/>
    <col min="6147" max="6147" width="29.59765625" style="1" customWidth="1"/>
    <col min="6148" max="6148" width="4.19921875" style="1" customWidth="1"/>
    <col min="6149" max="6149" width="8.09765625" style="1" customWidth="1"/>
    <col min="6150" max="6150" width="30.09765625" style="1" customWidth="1"/>
    <col min="6151" max="6151" width="4.5" style="1" customWidth="1"/>
    <col min="6152" max="6400" width="9" style="1"/>
    <col min="6401" max="6401" width="4.5" style="1" customWidth="1"/>
    <col min="6402" max="6402" width="8.09765625" style="1" customWidth="1"/>
    <col min="6403" max="6403" width="29.59765625" style="1" customWidth="1"/>
    <col min="6404" max="6404" width="4.19921875" style="1" customWidth="1"/>
    <col min="6405" max="6405" width="8.09765625" style="1" customWidth="1"/>
    <col min="6406" max="6406" width="30.09765625" style="1" customWidth="1"/>
    <col min="6407" max="6407" width="4.5" style="1" customWidth="1"/>
    <col min="6408" max="6656" width="9" style="1"/>
    <col min="6657" max="6657" width="4.5" style="1" customWidth="1"/>
    <col min="6658" max="6658" width="8.09765625" style="1" customWidth="1"/>
    <col min="6659" max="6659" width="29.59765625" style="1" customWidth="1"/>
    <col min="6660" max="6660" width="4.19921875" style="1" customWidth="1"/>
    <col min="6661" max="6661" width="8.09765625" style="1" customWidth="1"/>
    <col min="6662" max="6662" width="30.09765625" style="1" customWidth="1"/>
    <col min="6663" max="6663" width="4.5" style="1" customWidth="1"/>
    <col min="6664" max="6912" width="9" style="1"/>
    <col min="6913" max="6913" width="4.5" style="1" customWidth="1"/>
    <col min="6914" max="6914" width="8.09765625" style="1" customWidth="1"/>
    <col min="6915" max="6915" width="29.59765625" style="1" customWidth="1"/>
    <col min="6916" max="6916" width="4.19921875" style="1" customWidth="1"/>
    <col min="6917" max="6917" width="8.09765625" style="1" customWidth="1"/>
    <col min="6918" max="6918" width="30.09765625" style="1" customWidth="1"/>
    <col min="6919" max="6919" width="4.5" style="1" customWidth="1"/>
    <col min="6920" max="7168" width="9" style="1"/>
    <col min="7169" max="7169" width="4.5" style="1" customWidth="1"/>
    <col min="7170" max="7170" width="8.09765625" style="1" customWidth="1"/>
    <col min="7171" max="7171" width="29.59765625" style="1" customWidth="1"/>
    <col min="7172" max="7172" width="4.19921875" style="1" customWidth="1"/>
    <col min="7173" max="7173" width="8.09765625" style="1" customWidth="1"/>
    <col min="7174" max="7174" width="30.09765625" style="1" customWidth="1"/>
    <col min="7175" max="7175" width="4.5" style="1" customWidth="1"/>
    <col min="7176" max="7424" width="9" style="1"/>
    <col min="7425" max="7425" width="4.5" style="1" customWidth="1"/>
    <col min="7426" max="7426" width="8.09765625" style="1" customWidth="1"/>
    <col min="7427" max="7427" width="29.59765625" style="1" customWidth="1"/>
    <col min="7428" max="7428" width="4.19921875" style="1" customWidth="1"/>
    <col min="7429" max="7429" width="8.09765625" style="1" customWidth="1"/>
    <col min="7430" max="7430" width="30.09765625" style="1" customWidth="1"/>
    <col min="7431" max="7431" width="4.5" style="1" customWidth="1"/>
    <col min="7432" max="7680" width="9" style="1"/>
    <col min="7681" max="7681" width="4.5" style="1" customWidth="1"/>
    <col min="7682" max="7682" width="8.09765625" style="1" customWidth="1"/>
    <col min="7683" max="7683" width="29.59765625" style="1" customWidth="1"/>
    <col min="7684" max="7684" width="4.19921875" style="1" customWidth="1"/>
    <col min="7685" max="7685" width="8.09765625" style="1" customWidth="1"/>
    <col min="7686" max="7686" width="30.09765625" style="1" customWidth="1"/>
    <col min="7687" max="7687" width="4.5" style="1" customWidth="1"/>
    <col min="7688" max="7936" width="9" style="1"/>
    <col min="7937" max="7937" width="4.5" style="1" customWidth="1"/>
    <col min="7938" max="7938" width="8.09765625" style="1" customWidth="1"/>
    <col min="7939" max="7939" width="29.59765625" style="1" customWidth="1"/>
    <col min="7940" max="7940" width="4.19921875" style="1" customWidth="1"/>
    <col min="7941" max="7941" width="8.09765625" style="1" customWidth="1"/>
    <col min="7942" max="7942" width="30.09765625" style="1" customWidth="1"/>
    <col min="7943" max="7943" width="4.5" style="1" customWidth="1"/>
    <col min="7944" max="8192" width="9" style="1"/>
    <col min="8193" max="8193" width="4.5" style="1" customWidth="1"/>
    <col min="8194" max="8194" width="8.09765625" style="1" customWidth="1"/>
    <col min="8195" max="8195" width="29.59765625" style="1" customWidth="1"/>
    <col min="8196" max="8196" width="4.19921875" style="1" customWidth="1"/>
    <col min="8197" max="8197" width="8.09765625" style="1" customWidth="1"/>
    <col min="8198" max="8198" width="30.09765625" style="1" customWidth="1"/>
    <col min="8199" max="8199" width="4.5" style="1" customWidth="1"/>
    <col min="8200" max="8448" width="9" style="1"/>
    <col min="8449" max="8449" width="4.5" style="1" customWidth="1"/>
    <col min="8450" max="8450" width="8.09765625" style="1" customWidth="1"/>
    <col min="8451" max="8451" width="29.59765625" style="1" customWidth="1"/>
    <col min="8452" max="8452" width="4.19921875" style="1" customWidth="1"/>
    <col min="8453" max="8453" width="8.09765625" style="1" customWidth="1"/>
    <col min="8454" max="8454" width="30.09765625" style="1" customWidth="1"/>
    <col min="8455" max="8455" width="4.5" style="1" customWidth="1"/>
    <col min="8456" max="8704" width="9" style="1"/>
    <col min="8705" max="8705" width="4.5" style="1" customWidth="1"/>
    <col min="8706" max="8706" width="8.09765625" style="1" customWidth="1"/>
    <col min="8707" max="8707" width="29.59765625" style="1" customWidth="1"/>
    <col min="8708" max="8708" width="4.19921875" style="1" customWidth="1"/>
    <col min="8709" max="8709" width="8.09765625" style="1" customWidth="1"/>
    <col min="8710" max="8710" width="30.09765625" style="1" customWidth="1"/>
    <col min="8711" max="8711" width="4.5" style="1" customWidth="1"/>
    <col min="8712" max="8960" width="9" style="1"/>
    <col min="8961" max="8961" width="4.5" style="1" customWidth="1"/>
    <col min="8962" max="8962" width="8.09765625" style="1" customWidth="1"/>
    <col min="8963" max="8963" width="29.59765625" style="1" customWidth="1"/>
    <col min="8964" max="8964" width="4.19921875" style="1" customWidth="1"/>
    <col min="8965" max="8965" width="8.09765625" style="1" customWidth="1"/>
    <col min="8966" max="8966" width="30.09765625" style="1" customWidth="1"/>
    <col min="8967" max="8967" width="4.5" style="1" customWidth="1"/>
    <col min="8968" max="9216" width="9" style="1"/>
    <col min="9217" max="9217" width="4.5" style="1" customWidth="1"/>
    <col min="9218" max="9218" width="8.09765625" style="1" customWidth="1"/>
    <col min="9219" max="9219" width="29.59765625" style="1" customWidth="1"/>
    <col min="9220" max="9220" width="4.19921875" style="1" customWidth="1"/>
    <col min="9221" max="9221" width="8.09765625" style="1" customWidth="1"/>
    <col min="9222" max="9222" width="30.09765625" style="1" customWidth="1"/>
    <col min="9223" max="9223" width="4.5" style="1" customWidth="1"/>
    <col min="9224" max="9472" width="9" style="1"/>
    <col min="9473" max="9473" width="4.5" style="1" customWidth="1"/>
    <col min="9474" max="9474" width="8.09765625" style="1" customWidth="1"/>
    <col min="9475" max="9475" width="29.59765625" style="1" customWidth="1"/>
    <col min="9476" max="9476" width="4.19921875" style="1" customWidth="1"/>
    <col min="9477" max="9477" width="8.09765625" style="1" customWidth="1"/>
    <col min="9478" max="9478" width="30.09765625" style="1" customWidth="1"/>
    <col min="9479" max="9479" width="4.5" style="1" customWidth="1"/>
    <col min="9480" max="9728" width="9" style="1"/>
    <col min="9729" max="9729" width="4.5" style="1" customWidth="1"/>
    <col min="9730" max="9730" width="8.09765625" style="1" customWidth="1"/>
    <col min="9731" max="9731" width="29.59765625" style="1" customWidth="1"/>
    <col min="9732" max="9732" width="4.19921875" style="1" customWidth="1"/>
    <col min="9733" max="9733" width="8.09765625" style="1" customWidth="1"/>
    <col min="9734" max="9734" width="30.09765625" style="1" customWidth="1"/>
    <col min="9735" max="9735" width="4.5" style="1" customWidth="1"/>
    <col min="9736" max="9984" width="9" style="1"/>
    <col min="9985" max="9985" width="4.5" style="1" customWidth="1"/>
    <col min="9986" max="9986" width="8.09765625" style="1" customWidth="1"/>
    <col min="9987" max="9987" width="29.59765625" style="1" customWidth="1"/>
    <col min="9988" max="9988" width="4.19921875" style="1" customWidth="1"/>
    <col min="9989" max="9989" width="8.09765625" style="1" customWidth="1"/>
    <col min="9990" max="9990" width="30.09765625" style="1" customWidth="1"/>
    <col min="9991" max="9991" width="4.5" style="1" customWidth="1"/>
    <col min="9992" max="10240" width="9" style="1"/>
    <col min="10241" max="10241" width="4.5" style="1" customWidth="1"/>
    <col min="10242" max="10242" width="8.09765625" style="1" customWidth="1"/>
    <col min="10243" max="10243" width="29.59765625" style="1" customWidth="1"/>
    <col min="10244" max="10244" width="4.19921875" style="1" customWidth="1"/>
    <col min="10245" max="10245" width="8.09765625" style="1" customWidth="1"/>
    <col min="10246" max="10246" width="30.09765625" style="1" customWidth="1"/>
    <col min="10247" max="10247" width="4.5" style="1" customWidth="1"/>
    <col min="10248" max="10496" width="9" style="1"/>
    <col min="10497" max="10497" width="4.5" style="1" customWidth="1"/>
    <col min="10498" max="10498" width="8.09765625" style="1" customWidth="1"/>
    <col min="10499" max="10499" width="29.59765625" style="1" customWidth="1"/>
    <col min="10500" max="10500" width="4.19921875" style="1" customWidth="1"/>
    <col min="10501" max="10501" width="8.09765625" style="1" customWidth="1"/>
    <col min="10502" max="10502" width="30.09765625" style="1" customWidth="1"/>
    <col min="10503" max="10503" width="4.5" style="1" customWidth="1"/>
    <col min="10504" max="10752" width="9" style="1"/>
    <col min="10753" max="10753" width="4.5" style="1" customWidth="1"/>
    <col min="10754" max="10754" width="8.09765625" style="1" customWidth="1"/>
    <col min="10755" max="10755" width="29.59765625" style="1" customWidth="1"/>
    <col min="10756" max="10756" width="4.19921875" style="1" customWidth="1"/>
    <col min="10757" max="10757" width="8.09765625" style="1" customWidth="1"/>
    <col min="10758" max="10758" width="30.09765625" style="1" customWidth="1"/>
    <col min="10759" max="10759" width="4.5" style="1" customWidth="1"/>
    <col min="10760" max="11008" width="9" style="1"/>
    <col min="11009" max="11009" width="4.5" style="1" customWidth="1"/>
    <col min="11010" max="11010" width="8.09765625" style="1" customWidth="1"/>
    <col min="11011" max="11011" width="29.59765625" style="1" customWidth="1"/>
    <col min="11012" max="11012" width="4.19921875" style="1" customWidth="1"/>
    <col min="11013" max="11013" width="8.09765625" style="1" customWidth="1"/>
    <col min="11014" max="11014" width="30.09765625" style="1" customWidth="1"/>
    <col min="11015" max="11015" width="4.5" style="1" customWidth="1"/>
    <col min="11016" max="11264" width="9" style="1"/>
    <col min="11265" max="11265" width="4.5" style="1" customWidth="1"/>
    <col min="11266" max="11266" width="8.09765625" style="1" customWidth="1"/>
    <col min="11267" max="11267" width="29.59765625" style="1" customWidth="1"/>
    <col min="11268" max="11268" width="4.19921875" style="1" customWidth="1"/>
    <col min="11269" max="11269" width="8.09765625" style="1" customWidth="1"/>
    <col min="11270" max="11270" width="30.09765625" style="1" customWidth="1"/>
    <col min="11271" max="11271" width="4.5" style="1" customWidth="1"/>
    <col min="11272" max="11520" width="9" style="1"/>
    <col min="11521" max="11521" width="4.5" style="1" customWidth="1"/>
    <col min="11522" max="11522" width="8.09765625" style="1" customWidth="1"/>
    <col min="11523" max="11523" width="29.59765625" style="1" customWidth="1"/>
    <col min="11524" max="11524" width="4.19921875" style="1" customWidth="1"/>
    <col min="11525" max="11525" width="8.09765625" style="1" customWidth="1"/>
    <col min="11526" max="11526" width="30.09765625" style="1" customWidth="1"/>
    <col min="11527" max="11527" width="4.5" style="1" customWidth="1"/>
    <col min="11528" max="11776" width="9" style="1"/>
    <col min="11777" max="11777" width="4.5" style="1" customWidth="1"/>
    <col min="11778" max="11778" width="8.09765625" style="1" customWidth="1"/>
    <col min="11779" max="11779" width="29.59765625" style="1" customWidth="1"/>
    <col min="11780" max="11780" width="4.19921875" style="1" customWidth="1"/>
    <col min="11781" max="11781" width="8.09765625" style="1" customWidth="1"/>
    <col min="11782" max="11782" width="30.09765625" style="1" customWidth="1"/>
    <col min="11783" max="11783" width="4.5" style="1" customWidth="1"/>
    <col min="11784" max="12032" width="9" style="1"/>
    <col min="12033" max="12033" width="4.5" style="1" customWidth="1"/>
    <col min="12034" max="12034" width="8.09765625" style="1" customWidth="1"/>
    <col min="12035" max="12035" width="29.59765625" style="1" customWidth="1"/>
    <col min="12036" max="12036" width="4.19921875" style="1" customWidth="1"/>
    <col min="12037" max="12037" width="8.09765625" style="1" customWidth="1"/>
    <col min="12038" max="12038" width="30.09765625" style="1" customWidth="1"/>
    <col min="12039" max="12039" width="4.5" style="1" customWidth="1"/>
    <col min="12040" max="12288" width="9" style="1"/>
    <col min="12289" max="12289" width="4.5" style="1" customWidth="1"/>
    <col min="12290" max="12290" width="8.09765625" style="1" customWidth="1"/>
    <col min="12291" max="12291" width="29.59765625" style="1" customWidth="1"/>
    <col min="12292" max="12292" width="4.19921875" style="1" customWidth="1"/>
    <col min="12293" max="12293" width="8.09765625" style="1" customWidth="1"/>
    <col min="12294" max="12294" width="30.09765625" style="1" customWidth="1"/>
    <col min="12295" max="12295" width="4.5" style="1" customWidth="1"/>
    <col min="12296" max="12544" width="9" style="1"/>
    <col min="12545" max="12545" width="4.5" style="1" customWidth="1"/>
    <col min="12546" max="12546" width="8.09765625" style="1" customWidth="1"/>
    <col min="12547" max="12547" width="29.59765625" style="1" customWidth="1"/>
    <col min="12548" max="12548" width="4.19921875" style="1" customWidth="1"/>
    <col min="12549" max="12549" width="8.09765625" style="1" customWidth="1"/>
    <col min="12550" max="12550" width="30.09765625" style="1" customWidth="1"/>
    <col min="12551" max="12551" width="4.5" style="1" customWidth="1"/>
    <col min="12552" max="12800" width="9" style="1"/>
    <col min="12801" max="12801" width="4.5" style="1" customWidth="1"/>
    <col min="12802" max="12802" width="8.09765625" style="1" customWidth="1"/>
    <col min="12803" max="12803" width="29.59765625" style="1" customWidth="1"/>
    <col min="12804" max="12804" width="4.19921875" style="1" customWidth="1"/>
    <col min="12805" max="12805" width="8.09765625" style="1" customWidth="1"/>
    <col min="12806" max="12806" width="30.09765625" style="1" customWidth="1"/>
    <col min="12807" max="12807" width="4.5" style="1" customWidth="1"/>
    <col min="12808" max="13056" width="9" style="1"/>
    <col min="13057" max="13057" width="4.5" style="1" customWidth="1"/>
    <col min="13058" max="13058" width="8.09765625" style="1" customWidth="1"/>
    <col min="13059" max="13059" width="29.59765625" style="1" customWidth="1"/>
    <col min="13060" max="13060" width="4.19921875" style="1" customWidth="1"/>
    <col min="13061" max="13061" width="8.09765625" style="1" customWidth="1"/>
    <col min="13062" max="13062" width="30.09765625" style="1" customWidth="1"/>
    <col min="13063" max="13063" width="4.5" style="1" customWidth="1"/>
    <col min="13064" max="13312" width="9" style="1"/>
    <col min="13313" max="13313" width="4.5" style="1" customWidth="1"/>
    <col min="13314" max="13314" width="8.09765625" style="1" customWidth="1"/>
    <col min="13315" max="13315" width="29.59765625" style="1" customWidth="1"/>
    <col min="13316" max="13316" width="4.19921875" style="1" customWidth="1"/>
    <col min="13317" max="13317" width="8.09765625" style="1" customWidth="1"/>
    <col min="13318" max="13318" width="30.09765625" style="1" customWidth="1"/>
    <col min="13319" max="13319" width="4.5" style="1" customWidth="1"/>
    <col min="13320" max="13568" width="9" style="1"/>
    <col min="13569" max="13569" width="4.5" style="1" customWidth="1"/>
    <col min="13570" max="13570" width="8.09765625" style="1" customWidth="1"/>
    <col min="13571" max="13571" width="29.59765625" style="1" customWidth="1"/>
    <col min="13572" max="13572" width="4.19921875" style="1" customWidth="1"/>
    <col min="13573" max="13573" width="8.09765625" style="1" customWidth="1"/>
    <col min="13574" max="13574" width="30.09765625" style="1" customWidth="1"/>
    <col min="13575" max="13575" width="4.5" style="1" customWidth="1"/>
    <col min="13576" max="13824" width="9" style="1"/>
    <col min="13825" max="13825" width="4.5" style="1" customWidth="1"/>
    <col min="13826" max="13826" width="8.09765625" style="1" customWidth="1"/>
    <col min="13827" max="13827" width="29.59765625" style="1" customWidth="1"/>
    <col min="13828" max="13828" width="4.19921875" style="1" customWidth="1"/>
    <col min="13829" max="13829" width="8.09765625" style="1" customWidth="1"/>
    <col min="13830" max="13830" width="30.09765625" style="1" customWidth="1"/>
    <col min="13831" max="13831" width="4.5" style="1" customWidth="1"/>
    <col min="13832" max="14080" width="9" style="1"/>
    <col min="14081" max="14081" width="4.5" style="1" customWidth="1"/>
    <col min="14082" max="14082" width="8.09765625" style="1" customWidth="1"/>
    <col min="14083" max="14083" width="29.59765625" style="1" customWidth="1"/>
    <col min="14084" max="14084" width="4.19921875" style="1" customWidth="1"/>
    <col min="14085" max="14085" width="8.09765625" style="1" customWidth="1"/>
    <col min="14086" max="14086" width="30.09765625" style="1" customWidth="1"/>
    <col min="14087" max="14087" width="4.5" style="1" customWidth="1"/>
    <col min="14088" max="14336" width="9" style="1"/>
    <col min="14337" max="14337" width="4.5" style="1" customWidth="1"/>
    <col min="14338" max="14338" width="8.09765625" style="1" customWidth="1"/>
    <col min="14339" max="14339" width="29.59765625" style="1" customWidth="1"/>
    <col min="14340" max="14340" width="4.19921875" style="1" customWidth="1"/>
    <col min="14341" max="14341" width="8.09765625" style="1" customWidth="1"/>
    <col min="14342" max="14342" width="30.09765625" style="1" customWidth="1"/>
    <col min="14343" max="14343" width="4.5" style="1" customWidth="1"/>
    <col min="14344" max="14592" width="9" style="1"/>
    <col min="14593" max="14593" width="4.5" style="1" customWidth="1"/>
    <col min="14594" max="14594" width="8.09765625" style="1" customWidth="1"/>
    <col min="14595" max="14595" width="29.59765625" style="1" customWidth="1"/>
    <col min="14596" max="14596" width="4.19921875" style="1" customWidth="1"/>
    <col min="14597" max="14597" width="8.09765625" style="1" customWidth="1"/>
    <col min="14598" max="14598" width="30.09765625" style="1" customWidth="1"/>
    <col min="14599" max="14599" width="4.5" style="1" customWidth="1"/>
    <col min="14600" max="14848" width="9" style="1"/>
    <col min="14849" max="14849" width="4.5" style="1" customWidth="1"/>
    <col min="14850" max="14850" width="8.09765625" style="1" customWidth="1"/>
    <col min="14851" max="14851" width="29.59765625" style="1" customWidth="1"/>
    <col min="14852" max="14852" width="4.19921875" style="1" customWidth="1"/>
    <col min="14853" max="14853" width="8.09765625" style="1" customWidth="1"/>
    <col min="14854" max="14854" width="30.09765625" style="1" customWidth="1"/>
    <col min="14855" max="14855" width="4.5" style="1" customWidth="1"/>
    <col min="14856" max="15104" width="9" style="1"/>
    <col min="15105" max="15105" width="4.5" style="1" customWidth="1"/>
    <col min="15106" max="15106" width="8.09765625" style="1" customWidth="1"/>
    <col min="15107" max="15107" width="29.59765625" style="1" customWidth="1"/>
    <col min="15108" max="15108" width="4.19921875" style="1" customWidth="1"/>
    <col min="15109" max="15109" width="8.09765625" style="1" customWidth="1"/>
    <col min="15110" max="15110" width="30.09765625" style="1" customWidth="1"/>
    <col min="15111" max="15111" width="4.5" style="1" customWidth="1"/>
    <col min="15112" max="15360" width="9" style="1"/>
    <col min="15361" max="15361" width="4.5" style="1" customWidth="1"/>
    <col min="15362" max="15362" width="8.09765625" style="1" customWidth="1"/>
    <col min="15363" max="15363" width="29.59765625" style="1" customWidth="1"/>
    <col min="15364" max="15364" width="4.19921875" style="1" customWidth="1"/>
    <col min="15365" max="15365" width="8.09765625" style="1" customWidth="1"/>
    <col min="15366" max="15366" width="30.09765625" style="1" customWidth="1"/>
    <col min="15367" max="15367" width="4.5" style="1" customWidth="1"/>
    <col min="15368" max="15616" width="9" style="1"/>
    <col min="15617" max="15617" width="4.5" style="1" customWidth="1"/>
    <col min="15618" max="15618" width="8.09765625" style="1" customWidth="1"/>
    <col min="15619" max="15619" width="29.59765625" style="1" customWidth="1"/>
    <col min="15620" max="15620" width="4.19921875" style="1" customWidth="1"/>
    <col min="15621" max="15621" width="8.09765625" style="1" customWidth="1"/>
    <col min="15622" max="15622" width="30.09765625" style="1" customWidth="1"/>
    <col min="15623" max="15623" width="4.5" style="1" customWidth="1"/>
    <col min="15624" max="15872" width="9" style="1"/>
    <col min="15873" max="15873" width="4.5" style="1" customWidth="1"/>
    <col min="15874" max="15874" width="8.09765625" style="1" customWidth="1"/>
    <col min="15875" max="15875" width="29.59765625" style="1" customWidth="1"/>
    <col min="15876" max="15876" width="4.19921875" style="1" customWidth="1"/>
    <col min="15877" max="15877" width="8.09765625" style="1" customWidth="1"/>
    <col min="15878" max="15878" width="30.09765625" style="1" customWidth="1"/>
    <col min="15879" max="15879" width="4.5" style="1" customWidth="1"/>
    <col min="15880" max="16128" width="9" style="1"/>
    <col min="16129" max="16129" width="4.5" style="1" customWidth="1"/>
    <col min="16130" max="16130" width="8.09765625" style="1" customWidth="1"/>
    <col min="16131" max="16131" width="29.59765625" style="1" customWidth="1"/>
    <col min="16132" max="16132" width="4.19921875" style="1" customWidth="1"/>
    <col min="16133" max="16133" width="8.09765625" style="1" customWidth="1"/>
    <col min="16134" max="16134" width="30.09765625" style="1" customWidth="1"/>
    <col min="16135" max="16135" width="4.5" style="1" customWidth="1"/>
    <col min="16136" max="16384" width="9" style="1"/>
  </cols>
  <sheetData>
    <row r="1" spans="1:7" ht="74.25" customHeight="1" x14ac:dyDescent="0.4">
      <c r="B1" s="50" t="s">
        <v>0</v>
      </c>
      <c r="C1" s="50"/>
      <c r="D1" s="50"/>
      <c r="E1" s="50"/>
      <c r="F1" s="50"/>
    </row>
    <row r="2" spans="1:7" ht="17.25" customHeight="1" x14ac:dyDescent="0.4"/>
    <row r="3" spans="1:7" s="2" customFormat="1" ht="17.25" customHeight="1" x14ac:dyDescent="0.4">
      <c r="B3" s="2" t="s">
        <v>1</v>
      </c>
      <c r="C3" s="3" t="s">
        <v>2</v>
      </c>
      <c r="E3" s="2" t="s">
        <v>3</v>
      </c>
      <c r="F3" s="2" t="s">
        <v>4</v>
      </c>
    </row>
    <row r="4" spans="1:7" s="2" customFormat="1" ht="17.25" customHeight="1" x14ac:dyDescent="0.4">
      <c r="C4" s="2" t="s">
        <v>5</v>
      </c>
      <c r="F4" s="2" t="s">
        <v>6</v>
      </c>
    </row>
    <row r="5" spans="1:7" s="2" customFormat="1" ht="17.25" customHeight="1" x14ac:dyDescent="0.4">
      <c r="C5" s="2" t="s">
        <v>7</v>
      </c>
      <c r="F5" s="2" t="s">
        <v>8</v>
      </c>
    </row>
    <row r="6" spans="1:7" s="2" customFormat="1" ht="17.25" customHeight="1" x14ac:dyDescent="0.4"/>
    <row r="7" spans="1:7" s="2" customFormat="1" ht="17.25" customHeight="1" x14ac:dyDescent="0.4">
      <c r="B7" s="51" t="str">
        <f>"상기 위임인과 수임인은 아래와 같이 용역계약을 체결한다."</f>
        <v>상기 위임인과 수임인은 아래와 같이 용역계약을 체결한다.</v>
      </c>
      <c r="C7" s="51"/>
      <c r="D7" s="51"/>
      <c r="E7" s="51"/>
      <c r="F7" s="51"/>
    </row>
    <row r="8" spans="1:7" s="2" customFormat="1" ht="17.25" customHeight="1" x14ac:dyDescent="0.4">
      <c r="A8" s="4"/>
      <c r="B8" s="49"/>
      <c r="C8" s="49"/>
      <c r="D8" s="49"/>
      <c r="E8" s="49"/>
      <c r="F8" s="49"/>
      <c r="G8" s="4"/>
    </row>
    <row r="9" spans="1:7" s="2" customFormat="1" ht="17.25" customHeight="1" x14ac:dyDescent="0.4">
      <c r="B9" s="52" t="s">
        <v>9</v>
      </c>
      <c r="C9" s="52"/>
      <c r="D9" s="52"/>
      <c r="E9" s="52"/>
      <c r="F9" s="52"/>
    </row>
    <row r="10" spans="1:7" s="2" customFormat="1" ht="17.25" customHeight="1" x14ac:dyDescent="0.4">
      <c r="A10" s="4"/>
      <c r="B10" s="49" t="s">
        <v>10</v>
      </c>
      <c r="C10" s="49"/>
      <c r="D10" s="49"/>
      <c r="E10" s="49"/>
      <c r="F10" s="49"/>
      <c r="G10" s="4"/>
    </row>
    <row r="11" spans="1:7" s="2" customFormat="1" ht="17.25" customHeight="1" x14ac:dyDescent="0.4">
      <c r="B11" s="49" t="s">
        <v>11</v>
      </c>
      <c r="C11" s="49"/>
      <c r="D11" s="49"/>
      <c r="E11" s="49"/>
      <c r="F11" s="49"/>
    </row>
    <row r="12" spans="1:7" s="2" customFormat="1" ht="17.25" customHeight="1" x14ac:dyDescent="0.4">
      <c r="A12" s="4"/>
      <c r="B12" s="49" t="s">
        <v>12</v>
      </c>
      <c r="C12" s="49"/>
      <c r="D12" s="49"/>
      <c r="E12" s="49"/>
      <c r="F12" s="49"/>
      <c r="G12" s="4"/>
    </row>
    <row r="13" spans="1:7" s="2" customFormat="1" ht="17.25" customHeight="1" x14ac:dyDescent="0.4">
      <c r="B13" s="49"/>
      <c r="C13" s="49"/>
      <c r="D13" s="49"/>
      <c r="E13" s="49"/>
      <c r="F13" s="49"/>
    </row>
    <row r="14" spans="1:7" s="2" customFormat="1" ht="17.25" customHeight="1" x14ac:dyDescent="0.4">
      <c r="A14" s="4"/>
      <c r="B14" s="52" t="s">
        <v>13</v>
      </c>
      <c r="C14" s="52"/>
      <c r="D14" s="52"/>
      <c r="E14" s="52"/>
      <c r="F14" s="52"/>
      <c r="G14" s="4"/>
    </row>
    <row r="15" spans="1:7" s="2" customFormat="1" ht="17.25" customHeight="1" x14ac:dyDescent="0.4">
      <c r="A15" s="4"/>
      <c r="B15" s="79" t="s">
        <v>202</v>
      </c>
      <c r="C15" s="48"/>
      <c r="D15" s="48"/>
      <c r="E15" s="48"/>
      <c r="F15" s="48"/>
      <c r="G15" s="4"/>
    </row>
    <row r="16" spans="1:7" s="2" customFormat="1" ht="17.25" customHeight="1" x14ac:dyDescent="0.4">
      <c r="B16" s="49" t="s">
        <v>14</v>
      </c>
      <c r="C16" s="49"/>
      <c r="D16" s="49"/>
      <c r="E16" s="49"/>
      <c r="F16" s="49"/>
    </row>
    <row r="17" spans="1:7" s="2" customFormat="1" ht="17.25" customHeight="1" x14ac:dyDescent="0.4">
      <c r="A17" s="4"/>
      <c r="B17" s="49" t="s">
        <v>15</v>
      </c>
      <c r="C17" s="49"/>
      <c r="D17" s="49"/>
      <c r="E17" s="49"/>
      <c r="F17" s="49"/>
      <c r="G17" s="4"/>
    </row>
    <row r="18" spans="1:7" s="2" customFormat="1" ht="17.25" customHeight="1" x14ac:dyDescent="0.4">
      <c r="B18" s="80" t="s">
        <v>201</v>
      </c>
      <c r="C18" s="80"/>
      <c r="D18" s="80"/>
      <c r="E18" s="80"/>
      <c r="F18" s="80"/>
    </row>
    <row r="19" spans="1:7" s="2" customFormat="1" ht="17.25" customHeight="1" x14ac:dyDescent="0.4">
      <c r="B19" s="47"/>
      <c r="C19" s="47"/>
      <c r="D19" s="47"/>
      <c r="E19" s="47"/>
      <c r="F19" s="47"/>
    </row>
    <row r="20" spans="1:7" s="2" customFormat="1" ht="17.25" customHeight="1" x14ac:dyDescent="0.4">
      <c r="A20" s="4"/>
      <c r="B20" s="52" t="s">
        <v>16</v>
      </c>
      <c r="C20" s="52"/>
      <c r="D20" s="52"/>
      <c r="E20" s="52"/>
      <c r="F20" s="52"/>
      <c r="G20" s="4"/>
    </row>
    <row r="21" spans="1:7" s="2" customFormat="1" ht="17.25" customHeight="1" x14ac:dyDescent="0.4">
      <c r="A21" s="4"/>
      <c r="B21" s="5" t="str">
        <f>"① 본 계약의 계약기간은 2025년 11월 21일 부터 2025년 12월 31일 까지로 한다."</f>
        <v>① 본 계약의 계약기간은 2025년 11월 21일 부터 2025년 12월 31일 까지로 한다.</v>
      </c>
      <c r="C21" s="6"/>
      <c r="D21" s="6"/>
      <c r="E21" s="6"/>
      <c r="F21" s="6"/>
      <c r="G21" s="4"/>
    </row>
    <row r="22" spans="1:7" s="2" customFormat="1" ht="17.25" customHeight="1" x14ac:dyDescent="0.4">
      <c r="A22" s="4"/>
      <c r="B22" s="5" t="s">
        <v>17</v>
      </c>
      <c r="C22" s="6"/>
      <c r="D22" s="6"/>
      <c r="E22" s="6"/>
      <c r="F22" s="6"/>
      <c r="G22" s="4"/>
    </row>
    <row r="23" spans="1:7" s="2" customFormat="1" ht="17.25" customHeight="1" x14ac:dyDescent="0.4">
      <c r="B23" s="49" t="s">
        <v>18</v>
      </c>
      <c r="C23" s="49"/>
      <c r="D23" s="49"/>
      <c r="E23" s="49"/>
      <c r="F23" s="49"/>
    </row>
    <row r="24" spans="1:7" s="2" customFormat="1" ht="17.25" customHeight="1" x14ac:dyDescent="0.4">
      <c r="B24" s="49"/>
      <c r="C24" s="49"/>
      <c r="D24" s="49"/>
      <c r="E24" s="49"/>
      <c r="F24" s="49"/>
    </row>
    <row r="25" spans="1:7" s="2" customFormat="1" ht="17.25" customHeight="1" x14ac:dyDescent="0.4">
      <c r="A25" s="4"/>
      <c r="B25" s="52" t="s">
        <v>19</v>
      </c>
      <c r="C25" s="52"/>
      <c r="D25" s="52"/>
      <c r="E25" s="52"/>
      <c r="F25" s="52"/>
      <c r="G25" s="4"/>
    </row>
    <row r="26" spans="1:7" s="2" customFormat="1" ht="17.25" customHeight="1" x14ac:dyDescent="0.4">
      <c r="B26" s="49" t="s">
        <v>20</v>
      </c>
      <c r="C26" s="49"/>
      <c r="D26" s="49"/>
      <c r="E26" s="49"/>
      <c r="F26" s="49"/>
    </row>
    <row r="27" spans="1:7" s="2" customFormat="1" ht="17.25" customHeight="1" x14ac:dyDescent="0.4">
      <c r="B27" s="49" t="s">
        <v>200</v>
      </c>
      <c r="C27" s="49"/>
      <c r="D27" s="49"/>
      <c r="E27" s="49"/>
      <c r="F27" s="49"/>
    </row>
    <row r="28" spans="1:7" s="2" customFormat="1" ht="17.25" customHeight="1" x14ac:dyDescent="0.4">
      <c r="B28" s="5" t="s">
        <v>21</v>
      </c>
      <c r="C28" s="5"/>
      <c r="D28" s="5"/>
      <c r="E28" s="5"/>
      <c r="F28" s="5"/>
    </row>
    <row r="29" spans="1:7" s="2" customFormat="1" ht="17.25" customHeight="1" x14ac:dyDescent="0.4">
      <c r="B29" s="5" t="s">
        <v>22</v>
      </c>
      <c r="C29" s="5"/>
      <c r="D29" s="5"/>
      <c r="E29" s="5"/>
      <c r="F29" s="5"/>
    </row>
    <row r="30" spans="1:7" s="2" customFormat="1" ht="17.25" customHeight="1" x14ac:dyDescent="0.4">
      <c r="B30" s="5" t="s">
        <v>23</v>
      </c>
      <c r="C30" s="5"/>
      <c r="D30" s="5"/>
      <c r="E30" s="5"/>
      <c r="F30" s="5"/>
    </row>
    <row r="31" spans="1:7" s="2" customFormat="1" ht="17.25" customHeight="1" x14ac:dyDescent="0.4">
      <c r="B31" s="5" t="s">
        <v>24</v>
      </c>
      <c r="C31" s="5"/>
      <c r="D31" s="5"/>
      <c r="E31" s="5"/>
      <c r="F31" s="5"/>
    </row>
    <row r="32" spans="1:7" s="2" customFormat="1" ht="17.25" customHeight="1" x14ac:dyDescent="0.4">
      <c r="B32" s="5" t="s">
        <v>25</v>
      </c>
      <c r="C32" s="5"/>
      <c r="D32" s="5"/>
      <c r="E32" s="5"/>
      <c r="F32" s="5"/>
    </row>
    <row r="33" spans="2:6" s="2" customFormat="1" ht="17.25" customHeight="1" x14ac:dyDescent="0.4">
      <c r="B33" s="5" t="s">
        <v>26</v>
      </c>
      <c r="C33" s="5"/>
      <c r="D33" s="5"/>
      <c r="E33" s="5"/>
      <c r="F33" s="5"/>
    </row>
    <row r="34" spans="2:6" s="2" customFormat="1" ht="17.25" customHeight="1" x14ac:dyDescent="0.4">
      <c r="B34" s="5" t="s">
        <v>27</v>
      </c>
      <c r="C34" s="5"/>
      <c r="D34" s="5"/>
      <c r="E34" s="5"/>
      <c r="F34" s="5"/>
    </row>
    <row r="35" spans="2:6" s="2" customFormat="1" ht="17.25" customHeight="1" x14ac:dyDescent="0.4">
      <c r="B35" s="5" t="s">
        <v>28</v>
      </c>
      <c r="C35" s="5"/>
      <c r="D35" s="5"/>
      <c r="E35" s="5"/>
      <c r="F35" s="5"/>
    </row>
    <row r="36" spans="2:6" s="2" customFormat="1" ht="17.25" customHeight="1" x14ac:dyDescent="0.4">
      <c r="B36" s="5" t="str">
        <f>"   를 받은 월의 익월 "&amp;[2]변경데이터!D15&amp;"까지 해당금액(월 용역 보수와 부가가치세 합산액)을 수임인에게 지급"</f>
        <v xml:space="preserve">   를 받은 월의 익월 25일까지 해당금액(월 용역 보수와 부가가치세 합산액)을 수임인에게 지급</v>
      </c>
      <c r="C36" s="5"/>
      <c r="D36" s="5"/>
      <c r="E36" s="5"/>
      <c r="F36" s="5"/>
    </row>
    <row r="37" spans="2:6" s="2" customFormat="1" ht="17.25" customHeight="1" x14ac:dyDescent="0.4">
      <c r="B37" s="5" t="s">
        <v>29</v>
      </c>
      <c r="C37" s="5"/>
      <c r="D37" s="5"/>
      <c r="E37" s="5"/>
      <c r="F37" s="5"/>
    </row>
    <row r="38" spans="2:6" s="2" customFormat="1" ht="17.25" customHeight="1" x14ac:dyDescent="0.4">
      <c r="B38" s="5" t="s">
        <v>30</v>
      </c>
      <c r="C38" s="5"/>
      <c r="D38" s="5"/>
      <c r="E38" s="5"/>
      <c r="F38" s="5"/>
    </row>
    <row r="39" spans="2:6" s="2" customFormat="1" ht="17.25" customHeight="1" x14ac:dyDescent="0.4">
      <c r="B39" s="5" t="s">
        <v>31</v>
      </c>
      <c r="C39" s="5"/>
      <c r="D39" s="5"/>
      <c r="E39" s="5"/>
      <c r="F39" s="5"/>
    </row>
    <row r="40" spans="2:6" s="2" customFormat="1" ht="17.25" customHeight="1" x14ac:dyDescent="0.4">
      <c r="B40" s="5" t="s">
        <v>32</v>
      </c>
      <c r="C40" s="5"/>
      <c r="D40" s="5"/>
      <c r="E40" s="5"/>
      <c r="F40" s="5"/>
    </row>
    <row r="41" spans="2:6" s="2" customFormat="1" ht="17.25" customHeight="1" x14ac:dyDescent="0.4">
      <c r="B41" s="5" t="s">
        <v>33</v>
      </c>
      <c r="C41" s="5"/>
      <c r="D41" s="5"/>
      <c r="E41" s="5"/>
      <c r="F41" s="5"/>
    </row>
    <row r="42" spans="2:6" s="2" customFormat="1" ht="17.25" customHeight="1" x14ac:dyDescent="0.4">
      <c r="B42" s="5" t="s">
        <v>34</v>
      </c>
      <c r="C42" s="5"/>
      <c r="D42" s="5"/>
      <c r="E42" s="5"/>
      <c r="F42" s="5"/>
    </row>
    <row r="43" spans="2:6" s="2" customFormat="1" ht="17.25" customHeight="1" x14ac:dyDescent="0.4">
      <c r="B43" s="5" t="s">
        <v>35</v>
      </c>
      <c r="C43" s="5"/>
      <c r="D43" s="5"/>
      <c r="E43" s="5"/>
      <c r="F43" s="5"/>
    </row>
    <row r="44" spans="2:6" s="2" customFormat="1" ht="17.25" customHeight="1" x14ac:dyDescent="0.4">
      <c r="B44" s="5" t="s">
        <v>36</v>
      </c>
      <c r="C44" s="5"/>
      <c r="D44" s="5"/>
      <c r="E44" s="5"/>
      <c r="F44" s="5"/>
    </row>
    <row r="45" spans="2:6" s="2" customFormat="1" ht="17.25" customHeight="1" x14ac:dyDescent="0.4">
      <c r="B45" s="5" t="s">
        <v>37</v>
      </c>
      <c r="C45" s="5"/>
      <c r="D45" s="5"/>
      <c r="E45" s="5"/>
      <c r="F45" s="5"/>
    </row>
    <row r="46" spans="2:6" s="2" customFormat="1" ht="17.25" customHeight="1" x14ac:dyDescent="0.4">
      <c r="B46" s="5" t="s">
        <v>38</v>
      </c>
      <c r="C46" s="5"/>
      <c r="D46" s="5"/>
      <c r="E46" s="5"/>
      <c r="F46" s="5"/>
    </row>
    <row r="47" spans="2:6" s="2" customFormat="1" ht="17.25" customHeight="1" x14ac:dyDescent="0.4">
      <c r="B47" s="5" t="s">
        <v>39</v>
      </c>
      <c r="C47" s="5"/>
      <c r="D47" s="5"/>
      <c r="E47" s="5"/>
      <c r="F47" s="5"/>
    </row>
    <row r="48" spans="2:6" s="2" customFormat="1" ht="17.25" customHeight="1" x14ac:dyDescent="0.4">
      <c r="B48" s="5"/>
      <c r="C48" s="5"/>
      <c r="D48" s="5"/>
      <c r="E48" s="5"/>
      <c r="F48" s="5"/>
    </row>
    <row r="49" spans="1:7" s="2" customFormat="1" ht="17.25" customHeight="1" x14ac:dyDescent="0.4">
      <c r="B49" s="52" t="s">
        <v>40</v>
      </c>
      <c r="C49" s="52"/>
      <c r="D49" s="52"/>
      <c r="E49" s="52"/>
      <c r="F49" s="52"/>
    </row>
    <row r="50" spans="1:7" s="2" customFormat="1" ht="17.25" customHeight="1" x14ac:dyDescent="0.4">
      <c r="A50" s="4"/>
      <c r="B50" s="49" t="s">
        <v>41</v>
      </c>
      <c r="C50" s="49"/>
      <c r="D50" s="49"/>
      <c r="E50" s="49"/>
      <c r="F50" s="49"/>
      <c r="G50" s="4"/>
    </row>
    <row r="51" spans="1:7" s="2" customFormat="1" ht="17.25" customHeight="1" x14ac:dyDescent="0.4">
      <c r="A51" s="4"/>
      <c r="B51" s="49" t="s">
        <v>42</v>
      </c>
      <c r="C51" s="49"/>
      <c r="D51" s="49"/>
      <c r="E51" s="49"/>
      <c r="F51" s="49"/>
      <c r="G51" s="4"/>
    </row>
    <row r="52" spans="1:7" s="2" customFormat="1" ht="17.25" customHeight="1" x14ac:dyDescent="0.4">
      <c r="A52" s="4"/>
      <c r="B52" s="49" t="s">
        <v>43</v>
      </c>
      <c r="C52" s="49"/>
      <c r="D52" s="49"/>
      <c r="E52" s="49"/>
      <c r="F52" s="49"/>
      <c r="G52" s="4"/>
    </row>
    <row r="53" spans="1:7" s="2" customFormat="1" ht="17.25" customHeight="1" x14ac:dyDescent="0.4">
      <c r="B53" s="49" t="s">
        <v>44</v>
      </c>
      <c r="C53" s="49"/>
      <c r="D53" s="49"/>
      <c r="E53" s="49"/>
      <c r="F53" s="49"/>
    </row>
    <row r="54" spans="1:7" s="2" customFormat="1" ht="17.25" customHeight="1" x14ac:dyDescent="0.4">
      <c r="B54" s="49" t="s">
        <v>45</v>
      </c>
      <c r="C54" s="49"/>
      <c r="D54" s="49"/>
      <c r="E54" s="49"/>
      <c r="F54" s="49"/>
    </row>
    <row r="55" spans="1:7" s="2" customFormat="1" ht="17.25" customHeight="1" x14ac:dyDescent="0.4">
      <c r="A55" s="4"/>
      <c r="B55" s="49" t="s">
        <v>46</v>
      </c>
      <c r="C55" s="49"/>
      <c r="D55" s="49"/>
      <c r="E55" s="49"/>
      <c r="F55" s="49"/>
      <c r="G55" s="4"/>
    </row>
    <row r="56" spans="1:7" s="2" customFormat="1" ht="17.25" customHeight="1" x14ac:dyDescent="0.4">
      <c r="B56" s="49" t="s">
        <v>47</v>
      </c>
      <c r="C56" s="49"/>
      <c r="D56" s="49"/>
      <c r="E56" s="49"/>
      <c r="F56" s="49"/>
    </row>
    <row r="57" spans="1:7" s="2" customFormat="1" ht="17.25" customHeight="1" x14ac:dyDescent="0.4">
      <c r="B57" s="5" t="s">
        <v>48</v>
      </c>
      <c r="C57" s="5"/>
      <c r="D57" s="5"/>
      <c r="E57" s="5"/>
      <c r="F57" s="5"/>
    </row>
    <row r="58" spans="1:7" s="2" customFormat="1" ht="17.25" customHeight="1" x14ac:dyDescent="0.4">
      <c r="B58" s="5" t="s">
        <v>49</v>
      </c>
      <c r="C58" s="5"/>
      <c r="D58" s="5"/>
      <c r="E58" s="5"/>
      <c r="F58" s="5"/>
    </row>
    <row r="59" spans="1:7" s="2" customFormat="1" ht="17.25" customHeight="1" x14ac:dyDescent="0.4">
      <c r="B59" s="5" t="s">
        <v>50</v>
      </c>
      <c r="C59" s="5"/>
      <c r="D59" s="5"/>
      <c r="E59" s="5"/>
      <c r="F59" s="5"/>
    </row>
    <row r="60" spans="1:7" s="2" customFormat="1" ht="17.25" customHeight="1" x14ac:dyDescent="0.4">
      <c r="B60" s="5" t="s">
        <v>51</v>
      </c>
      <c r="C60" s="5"/>
      <c r="D60" s="5"/>
      <c r="E60" s="5"/>
      <c r="F60" s="5"/>
    </row>
    <row r="61" spans="1:7" s="2" customFormat="1" ht="17.25" customHeight="1" x14ac:dyDescent="0.4">
      <c r="B61" s="5"/>
      <c r="C61" s="5"/>
      <c r="D61" s="5"/>
      <c r="E61" s="5"/>
      <c r="F61" s="5"/>
    </row>
    <row r="62" spans="1:7" s="2" customFormat="1" ht="17.25" customHeight="1" x14ac:dyDescent="0.4">
      <c r="B62" s="52" t="s">
        <v>52</v>
      </c>
      <c r="C62" s="52"/>
      <c r="D62" s="52"/>
      <c r="E62" s="52"/>
      <c r="F62" s="52"/>
    </row>
    <row r="63" spans="1:7" s="2" customFormat="1" ht="17.25" customHeight="1" x14ac:dyDescent="0.4">
      <c r="B63" s="5" t="s">
        <v>53</v>
      </c>
      <c r="C63" s="6"/>
      <c r="D63" s="6"/>
      <c r="E63" s="6"/>
      <c r="F63" s="6"/>
    </row>
    <row r="64" spans="1:7" s="2" customFormat="1" ht="17.25" customHeight="1" x14ac:dyDescent="0.4">
      <c r="B64" s="5" t="s">
        <v>54</v>
      </c>
      <c r="C64" s="6"/>
      <c r="D64" s="6"/>
      <c r="E64" s="6"/>
      <c r="F64" s="6"/>
    </row>
    <row r="65" spans="1:7" s="2" customFormat="1" ht="17.25" customHeight="1" x14ac:dyDescent="0.4">
      <c r="B65" s="5" t="s">
        <v>55</v>
      </c>
      <c r="C65" s="6"/>
      <c r="D65" s="6"/>
      <c r="E65" s="6"/>
      <c r="F65" s="6"/>
    </row>
    <row r="66" spans="1:7" s="2" customFormat="1" ht="17.25" customHeight="1" x14ac:dyDescent="0.4">
      <c r="B66" s="5" t="s">
        <v>56</v>
      </c>
      <c r="C66" s="6"/>
      <c r="D66" s="6"/>
      <c r="E66" s="6"/>
      <c r="F66" s="6"/>
    </row>
    <row r="67" spans="1:7" s="2" customFormat="1" ht="17.25" customHeight="1" x14ac:dyDescent="0.4">
      <c r="B67" s="5" t="s">
        <v>57</v>
      </c>
      <c r="C67" s="6"/>
      <c r="D67" s="6"/>
      <c r="E67" s="6"/>
      <c r="F67" s="6"/>
    </row>
    <row r="68" spans="1:7" s="2" customFormat="1" ht="17.25" customHeight="1" x14ac:dyDescent="0.4">
      <c r="B68" s="5" t="s">
        <v>58</v>
      </c>
      <c r="C68" s="6"/>
      <c r="D68" s="6"/>
      <c r="E68" s="6"/>
      <c r="F68" s="6"/>
    </row>
    <row r="69" spans="1:7" s="2" customFormat="1" ht="17.25" customHeight="1" x14ac:dyDescent="0.4">
      <c r="B69" s="5"/>
      <c r="C69" s="6"/>
      <c r="D69" s="6"/>
      <c r="E69" s="6"/>
      <c r="F69" s="6"/>
    </row>
    <row r="70" spans="1:7" s="2" customFormat="1" ht="17.25" customHeight="1" x14ac:dyDescent="0.4">
      <c r="B70" s="52" t="s">
        <v>59</v>
      </c>
      <c r="C70" s="52"/>
      <c r="D70" s="52"/>
      <c r="E70" s="52"/>
      <c r="F70" s="52"/>
    </row>
    <row r="71" spans="1:7" s="2" customFormat="1" ht="17.25" customHeight="1" x14ac:dyDescent="0.4">
      <c r="B71" s="5" t="s">
        <v>60</v>
      </c>
      <c r="C71" s="6"/>
      <c r="D71" s="6"/>
      <c r="E71" s="6"/>
      <c r="F71" s="6"/>
    </row>
    <row r="72" spans="1:7" s="2" customFormat="1" ht="17.25" customHeight="1" x14ac:dyDescent="0.4">
      <c r="B72" s="6"/>
      <c r="C72" s="6"/>
      <c r="D72" s="6"/>
      <c r="E72" s="6"/>
      <c r="F72" s="6"/>
    </row>
    <row r="73" spans="1:7" s="2" customFormat="1" ht="17.25" customHeight="1" x14ac:dyDescent="0.4">
      <c r="A73" s="4"/>
      <c r="B73" s="52" t="s">
        <v>61</v>
      </c>
      <c r="C73" s="52"/>
      <c r="D73" s="52"/>
      <c r="E73" s="52"/>
      <c r="F73" s="52"/>
      <c r="G73" s="4"/>
    </row>
    <row r="74" spans="1:7" s="2" customFormat="1" ht="17.25" customHeight="1" x14ac:dyDescent="0.4">
      <c r="A74" s="4"/>
      <c r="B74" s="5" t="s">
        <v>62</v>
      </c>
      <c r="C74" s="6"/>
      <c r="D74" s="6"/>
      <c r="E74" s="6"/>
      <c r="F74" s="6"/>
      <c r="G74" s="4"/>
    </row>
    <row r="75" spans="1:7" s="2" customFormat="1" ht="17.25" customHeight="1" x14ac:dyDescent="0.4">
      <c r="A75" s="4"/>
      <c r="B75" s="5" t="s">
        <v>63</v>
      </c>
      <c r="C75" s="6"/>
      <c r="D75" s="6"/>
      <c r="E75" s="6"/>
      <c r="F75" s="6"/>
      <c r="G75" s="4"/>
    </row>
    <row r="76" spans="1:7" s="2" customFormat="1" ht="17.25" customHeight="1" x14ac:dyDescent="0.4">
      <c r="A76" s="4"/>
      <c r="B76" s="5"/>
      <c r="C76" s="6"/>
      <c r="D76" s="6"/>
      <c r="E76" s="6"/>
      <c r="F76" s="6"/>
      <c r="G76" s="4"/>
    </row>
    <row r="77" spans="1:7" s="2" customFormat="1" ht="17.25" customHeight="1" x14ac:dyDescent="0.4">
      <c r="B77" s="52" t="s">
        <v>64</v>
      </c>
      <c r="C77" s="52"/>
      <c r="D77" s="52"/>
      <c r="E77" s="52"/>
      <c r="F77" s="52"/>
    </row>
    <row r="78" spans="1:7" s="2" customFormat="1" ht="17.25" customHeight="1" x14ac:dyDescent="0.4">
      <c r="B78" s="5" t="s">
        <v>65</v>
      </c>
      <c r="C78" s="6"/>
      <c r="D78" s="6"/>
      <c r="E78" s="6"/>
      <c r="F78" s="6"/>
    </row>
    <row r="79" spans="1:7" s="2" customFormat="1" ht="17.25" customHeight="1" x14ac:dyDescent="0.4">
      <c r="B79" s="5" t="s">
        <v>66</v>
      </c>
      <c r="C79" s="6"/>
      <c r="D79" s="6"/>
      <c r="E79" s="6"/>
      <c r="F79" s="6"/>
    </row>
    <row r="80" spans="1:7" s="2" customFormat="1" ht="17.25" customHeight="1" x14ac:dyDescent="0.4">
      <c r="B80" s="5"/>
      <c r="C80" s="6"/>
      <c r="D80" s="6"/>
      <c r="E80" s="6"/>
      <c r="F80" s="6"/>
    </row>
    <row r="81" spans="1:7" s="2" customFormat="1" ht="17.25" customHeight="1" x14ac:dyDescent="0.4">
      <c r="A81" s="4"/>
      <c r="B81" s="52" t="s">
        <v>67</v>
      </c>
      <c r="C81" s="52"/>
      <c r="D81" s="52"/>
      <c r="E81" s="52"/>
      <c r="F81" s="52"/>
      <c r="G81" s="4"/>
    </row>
    <row r="82" spans="1:7" s="2" customFormat="1" ht="17.25" customHeight="1" x14ac:dyDescent="0.4">
      <c r="A82" s="4"/>
      <c r="B82" s="5" t="s">
        <v>68</v>
      </c>
      <c r="C82" s="6"/>
      <c r="D82" s="6"/>
      <c r="E82" s="6"/>
      <c r="F82" s="6"/>
      <c r="G82" s="4"/>
    </row>
    <row r="83" spans="1:7" s="2" customFormat="1" ht="17.25" customHeight="1" x14ac:dyDescent="0.4">
      <c r="A83" s="4"/>
      <c r="B83" s="5" t="s">
        <v>69</v>
      </c>
      <c r="C83" s="6"/>
      <c r="D83" s="6"/>
      <c r="E83" s="6"/>
      <c r="F83" s="6"/>
      <c r="G83" s="4"/>
    </row>
    <row r="84" spans="1:7" s="2" customFormat="1" ht="17.25" customHeight="1" x14ac:dyDescent="0.4">
      <c r="A84" s="4"/>
      <c r="B84" s="5" t="s">
        <v>70</v>
      </c>
      <c r="C84" s="6"/>
      <c r="D84" s="6"/>
      <c r="E84" s="6"/>
      <c r="F84" s="6"/>
      <c r="G84" s="4"/>
    </row>
    <row r="85" spans="1:7" s="2" customFormat="1" ht="17.25" customHeight="1" x14ac:dyDescent="0.4">
      <c r="A85" s="4"/>
      <c r="B85" s="5" t="s">
        <v>71</v>
      </c>
      <c r="C85" s="6"/>
      <c r="D85" s="6"/>
      <c r="E85" s="6"/>
      <c r="F85" s="6"/>
      <c r="G85" s="4"/>
    </row>
    <row r="86" spans="1:7" s="2" customFormat="1" ht="17.25" customHeight="1" x14ac:dyDescent="0.4">
      <c r="A86" s="4"/>
      <c r="B86" s="5" t="s">
        <v>72</v>
      </c>
      <c r="C86" s="6"/>
      <c r="D86" s="6"/>
      <c r="E86" s="6"/>
      <c r="F86" s="6"/>
      <c r="G86" s="4"/>
    </row>
    <row r="87" spans="1:7" s="2" customFormat="1" ht="17.25" customHeight="1" x14ac:dyDescent="0.4">
      <c r="A87" s="4"/>
      <c r="B87" s="5" t="s">
        <v>73</v>
      </c>
      <c r="C87" s="6"/>
      <c r="D87" s="6"/>
      <c r="E87" s="6"/>
      <c r="F87" s="6"/>
      <c r="G87" s="4"/>
    </row>
    <row r="88" spans="1:7" s="2" customFormat="1" ht="17.25" customHeight="1" x14ac:dyDescent="0.4">
      <c r="A88" s="4"/>
      <c r="B88" s="5" t="s">
        <v>74</v>
      </c>
      <c r="C88" s="6"/>
      <c r="D88" s="6"/>
      <c r="E88" s="6"/>
      <c r="F88" s="6"/>
      <c r="G88" s="4"/>
    </row>
    <row r="89" spans="1:7" s="2" customFormat="1" ht="17.25" customHeight="1" x14ac:dyDescent="0.4">
      <c r="A89" s="4"/>
      <c r="B89" s="5" t="s">
        <v>75</v>
      </c>
      <c r="C89" s="6"/>
      <c r="D89" s="6"/>
      <c r="E89" s="6"/>
      <c r="F89" s="6"/>
      <c r="G89" s="4"/>
    </row>
    <row r="90" spans="1:7" s="2" customFormat="1" ht="17.25" customHeight="1" x14ac:dyDescent="0.4">
      <c r="A90" s="4"/>
      <c r="B90" s="5" t="s">
        <v>76</v>
      </c>
      <c r="C90" s="6"/>
      <c r="D90" s="6"/>
      <c r="E90" s="6"/>
      <c r="F90" s="6"/>
      <c r="G90" s="4"/>
    </row>
    <row r="91" spans="1:7" s="2" customFormat="1" ht="17.25" customHeight="1" x14ac:dyDescent="0.4">
      <c r="A91" s="4"/>
      <c r="B91" s="5" t="s">
        <v>77</v>
      </c>
      <c r="C91" s="6"/>
      <c r="D91" s="6"/>
      <c r="E91" s="6"/>
      <c r="F91" s="6"/>
      <c r="G91" s="4"/>
    </row>
    <row r="92" spans="1:7" s="2" customFormat="1" ht="17.25" customHeight="1" x14ac:dyDescent="0.4">
      <c r="A92" s="4"/>
      <c r="B92" s="5" t="s">
        <v>78</v>
      </c>
      <c r="C92" s="6"/>
      <c r="D92" s="6"/>
      <c r="E92" s="6"/>
      <c r="F92" s="6"/>
      <c r="G92" s="4"/>
    </row>
    <row r="93" spans="1:7" s="2" customFormat="1" ht="17.25" customHeight="1" x14ac:dyDescent="0.4">
      <c r="A93" s="4"/>
      <c r="B93" s="5" t="s">
        <v>79</v>
      </c>
      <c r="C93" s="6"/>
      <c r="D93" s="6"/>
      <c r="E93" s="6"/>
      <c r="F93" s="6"/>
      <c r="G93" s="4"/>
    </row>
    <row r="94" spans="1:7" s="2" customFormat="1" ht="17.25" customHeight="1" x14ac:dyDescent="0.4">
      <c r="A94" s="4"/>
      <c r="B94" s="5"/>
      <c r="C94" s="6"/>
      <c r="D94" s="6"/>
      <c r="E94" s="6"/>
      <c r="F94" s="6"/>
      <c r="G94" s="4"/>
    </row>
    <row r="95" spans="1:7" s="2" customFormat="1" ht="17.25" customHeight="1" x14ac:dyDescent="0.4">
      <c r="B95" s="52" t="s">
        <v>80</v>
      </c>
      <c r="C95" s="52"/>
      <c r="D95" s="52"/>
      <c r="E95" s="52"/>
      <c r="F95" s="52"/>
    </row>
    <row r="96" spans="1:7" s="2" customFormat="1" ht="17.25" customHeight="1" x14ac:dyDescent="0.4">
      <c r="B96" s="5" t="s">
        <v>81</v>
      </c>
      <c r="C96" s="6"/>
      <c r="D96" s="6"/>
      <c r="E96" s="6"/>
      <c r="F96" s="6"/>
    </row>
    <row r="97" spans="1:7" s="2" customFormat="1" ht="17.25" customHeight="1" x14ac:dyDescent="0.4">
      <c r="B97" s="5" t="s">
        <v>82</v>
      </c>
      <c r="C97" s="6"/>
      <c r="D97" s="6"/>
      <c r="E97" s="6"/>
      <c r="F97" s="6"/>
    </row>
    <row r="98" spans="1:7" s="2" customFormat="1" ht="17.25" customHeight="1" x14ac:dyDescent="0.4">
      <c r="B98" s="5" t="s">
        <v>83</v>
      </c>
      <c r="C98" s="6"/>
      <c r="D98" s="6"/>
      <c r="E98" s="6"/>
      <c r="F98" s="6"/>
    </row>
    <row r="99" spans="1:7" s="2" customFormat="1" ht="17.25" customHeight="1" x14ac:dyDescent="0.4">
      <c r="B99" s="5" t="s">
        <v>84</v>
      </c>
      <c r="C99" s="6"/>
      <c r="D99" s="6"/>
      <c r="E99" s="6"/>
      <c r="F99" s="6"/>
    </row>
    <row r="100" spans="1:7" s="2" customFormat="1" ht="17.25" customHeight="1" x14ac:dyDescent="0.4">
      <c r="B100" s="5"/>
      <c r="C100" s="6"/>
      <c r="D100" s="6"/>
      <c r="E100" s="6"/>
      <c r="F100" s="6"/>
    </row>
    <row r="101" spans="1:7" s="2" customFormat="1" ht="17.25" customHeight="1" x14ac:dyDescent="0.4">
      <c r="A101" s="4"/>
      <c r="B101" s="52" t="s">
        <v>85</v>
      </c>
      <c r="C101" s="52"/>
      <c r="D101" s="52"/>
      <c r="E101" s="52"/>
      <c r="F101" s="52"/>
      <c r="G101" s="4"/>
    </row>
    <row r="102" spans="1:7" s="2" customFormat="1" ht="17.25" customHeight="1" x14ac:dyDescent="0.4">
      <c r="A102" s="4"/>
      <c r="B102" s="5" t="s">
        <v>86</v>
      </c>
      <c r="C102" s="6"/>
      <c r="D102" s="6"/>
      <c r="E102" s="6"/>
      <c r="F102" s="6"/>
      <c r="G102" s="4"/>
    </row>
    <row r="103" spans="1:7" s="2" customFormat="1" ht="17.25" customHeight="1" x14ac:dyDescent="0.4">
      <c r="A103" s="4"/>
      <c r="B103" s="5" t="s">
        <v>87</v>
      </c>
      <c r="C103" s="6"/>
      <c r="D103" s="6"/>
      <c r="E103" s="6"/>
      <c r="F103" s="6"/>
      <c r="G103" s="4"/>
    </row>
    <row r="104" spans="1:7" s="2" customFormat="1" ht="17.25" customHeight="1" x14ac:dyDescent="0.4">
      <c r="A104" s="4"/>
      <c r="B104" s="5"/>
      <c r="C104" s="6"/>
      <c r="D104" s="6"/>
      <c r="E104" s="6"/>
      <c r="F104" s="6"/>
      <c r="G104" s="4"/>
    </row>
    <row r="105" spans="1:7" s="2" customFormat="1" ht="17.25" customHeight="1" x14ac:dyDescent="0.4">
      <c r="A105" s="4"/>
      <c r="B105" s="52" t="s">
        <v>88</v>
      </c>
      <c r="C105" s="52"/>
      <c r="D105" s="52"/>
      <c r="E105" s="52"/>
      <c r="F105" s="52"/>
      <c r="G105" s="4"/>
    </row>
    <row r="106" spans="1:7" s="2" customFormat="1" ht="17.25" customHeight="1" x14ac:dyDescent="0.4">
      <c r="A106" s="4"/>
      <c r="B106" s="5" t="s">
        <v>89</v>
      </c>
      <c r="C106" s="5"/>
      <c r="D106" s="5"/>
      <c r="E106" s="5"/>
      <c r="F106" s="5"/>
      <c r="G106" s="4"/>
    </row>
    <row r="107" spans="1:7" s="2" customFormat="1" ht="17.25" customHeight="1" x14ac:dyDescent="0.4">
      <c r="A107" s="4"/>
      <c r="B107" s="5" t="s">
        <v>90</v>
      </c>
      <c r="C107" s="5"/>
      <c r="D107" s="5"/>
      <c r="E107" s="5"/>
      <c r="F107" s="5"/>
      <c r="G107" s="4"/>
    </row>
    <row r="108" spans="1:7" s="2" customFormat="1" ht="17.25" customHeight="1" x14ac:dyDescent="0.4">
      <c r="A108" s="4"/>
      <c r="B108" s="5" t="s">
        <v>91</v>
      </c>
      <c r="C108" s="5"/>
      <c r="D108" s="5"/>
      <c r="E108" s="5"/>
      <c r="F108" s="5"/>
      <c r="G108" s="4"/>
    </row>
    <row r="109" spans="1:7" s="2" customFormat="1" ht="17.25" customHeight="1" x14ac:dyDescent="0.4">
      <c r="A109" s="4"/>
      <c r="B109" s="5"/>
      <c r="C109" s="5"/>
      <c r="D109" s="5"/>
      <c r="E109" s="5"/>
      <c r="F109" s="5"/>
      <c r="G109" s="4"/>
    </row>
    <row r="110" spans="1:7" s="2" customFormat="1" ht="17.25" customHeight="1" x14ac:dyDescent="0.4">
      <c r="A110" s="4"/>
      <c r="B110" s="5"/>
      <c r="C110" s="5"/>
      <c r="D110" s="5"/>
      <c r="E110" s="5"/>
      <c r="F110" s="5"/>
      <c r="G110" s="4"/>
    </row>
    <row r="111" spans="1:7" s="2" customFormat="1" ht="17.25" customHeight="1" x14ac:dyDescent="0.4">
      <c r="B111" s="49" t="s">
        <v>92</v>
      </c>
      <c r="C111" s="49"/>
      <c r="D111" s="49"/>
      <c r="E111" s="49"/>
      <c r="F111" s="49"/>
    </row>
    <row r="112" spans="1:7" s="2" customFormat="1" ht="17.25" customHeight="1" x14ac:dyDescent="0.4">
      <c r="A112" s="4"/>
      <c r="B112" s="49" t="s">
        <v>93</v>
      </c>
      <c r="C112" s="49"/>
      <c r="D112" s="49"/>
      <c r="E112" s="49"/>
      <c r="F112" s="49"/>
      <c r="G112" s="4"/>
    </row>
    <row r="113" spans="1:7" s="2" customFormat="1" ht="17.25" customHeight="1" x14ac:dyDescent="0.4">
      <c r="B113" s="49"/>
      <c r="C113" s="49"/>
      <c r="D113" s="49"/>
      <c r="E113" s="49"/>
      <c r="F113" s="49"/>
    </row>
    <row r="114" spans="1:7" s="2" customFormat="1" ht="17.25" customHeight="1" x14ac:dyDescent="0.4">
      <c r="B114" s="5"/>
      <c r="C114" s="5"/>
      <c r="D114" s="5"/>
      <c r="E114" s="5"/>
      <c r="F114" s="5"/>
    </row>
    <row r="115" spans="1:7" s="2" customFormat="1" ht="17.25" customHeight="1" x14ac:dyDescent="0.4">
      <c r="B115" s="5"/>
      <c r="C115" s="5"/>
      <c r="D115" s="5"/>
      <c r="E115" s="5"/>
      <c r="F115" s="5"/>
    </row>
    <row r="116" spans="1:7" s="2" customFormat="1" ht="17.25" customHeight="1" x14ac:dyDescent="0.4">
      <c r="B116" s="49" t="s">
        <v>94</v>
      </c>
      <c r="C116" s="49"/>
      <c r="D116" s="49"/>
      <c r="E116" s="49"/>
      <c r="F116" s="49"/>
    </row>
    <row r="117" spans="1:7" s="2" customFormat="1" ht="17.25" customHeight="1" x14ac:dyDescent="0.4">
      <c r="A117" s="4"/>
      <c r="B117" s="49" t="s">
        <v>95</v>
      </c>
      <c r="C117" s="49"/>
      <c r="D117" s="49"/>
      <c r="E117" s="49"/>
      <c r="F117" s="49"/>
      <c r="G117" s="4"/>
    </row>
    <row r="118" spans="1:7" s="2" customFormat="1" ht="17.25" customHeight="1" x14ac:dyDescent="0.4">
      <c r="B118" s="49" t="s">
        <v>96</v>
      </c>
      <c r="C118" s="49"/>
      <c r="D118" s="49"/>
      <c r="E118" s="49"/>
      <c r="F118" s="49"/>
    </row>
    <row r="119" spans="1:7" s="2" customFormat="1" ht="17.25" customHeight="1" x14ac:dyDescent="0.4">
      <c r="A119" s="4"/>
      <c r="B119" s="49"/>
      <c r="C119" s="49"/>
      <c r="D119" s="49"/>
      <c r="E119" s="49"/>
      <c r="F119" s="49"/>
      <c r="G119" s="4"/>
    </row>
    <row r="120" spans="1:7" s="2" customFormat="1" ht="17.25" customHeight="1" x14ac:dyDescent="0.4">
      <c r="B120" s="49"/>
      <c r="C120" s="49"/>
      <c r="D120" s="49"/>
      <c r="E120" s="49"/>
      <c r="F120" s="49"/>
    </row>
    <row r="121" spans="1:7" s="2" customFormat="1" ht="17.25" customHeight="1" x14ac:dyDescent="0.4">
      <c r="A121" s="4"/>
      <c r="B121" s="49"/>
      <c r="C121" s="49"/>
      <c r="D121" s="49"/>
      <c r="E121" s="49"/>
      <c r="F121" s="49"/>
      <c r="G121" s="4"/>
    </row>
    <row r="122" spans="1:7" s="2" customFormat="1" ht="17.25" customHeight="1" x14ac:dyDescent="0.4">
      <c r="B122" s="49"/>
      <c r="C122" s="49"/>
      <c r="D122" s="49"/>
      <c r="E122" s="49"/>
      <c r="F122" s="49"/>
    </row>
    <row r="123" spans="1:7" s="2" customFormat="1" ht="17.25" customHeight="1" x14ac:dyDescent="0.4">
      <c r="A123" s="4"/>
      <c r="B123" s="49"/>
      <c r="C123" s="49"/>
      <c r="D123" s="49"/>
      <c r="E123" s="49"/>
      <c r="F123" s="49"/>
      <c r="G123" s="4"/>
    </row>
    <row r="124" spans="1:7" s="2" customFormat="1" ht="17.25" customHeight="1" x14ac:dyDescent="0.4">
      <c r="B124" s="53">
        <v>45980</v>
      </c>
      <c r="C124" s="54"/>
      <c r="D124" s="54"/>
      <c r="E124" s="54"/>
      <c r="F124" s="54"/>
    </row>
    <row r="125" spans="1:7" s="2" customFormat="1" ht="17.25" customHeight="1" x14ac:dyDescent="0.4">
      <c r="B125" s="4"/>
      <c r="C125" s="4"/>
      <c r="D125" s="4"/>
      <c r="E125" s="4"/>
      <c r="F125" s="4"/>
    </row>
    <row r="126" spans="1:7" s="2" customFormat="1" ht="17.25" customHeight="1" x14ac:dyDescent="0.4">
      <c r="A126" s="4"/>
      <c r="B126" s="49"/>
      <c r="C126" s="49"/>
      <c r="D126" s="49"/>
      <c r="E126" s="49"/>
      <c r="F126" s="49"/>
      <c r="G126" s="4"/>
    </row>
    <row r="127" spans="1:7" s="2" customFormat="1" ht="17.25" customHeight="1" x14ac:dyDescent="0.4">
      <c r="B127" s="2" t="s">
        <v>1</v>
      </c>
      <c r="C127" s="2" t="str">
        <f>C3</f>
        <v>경기도 평택시 세교산단로 67-20</v>
      </c>
      <c r="E127" s="2" t="s">
        <v>3</v>
      </c>
      <c r="F127" s="2" t="str">
        <f>F3</f>
        <v>서울시 송파구 오금로 311</v>
      </c>
    </row>
    <row r="128" spans="1:7" s="2" customFormat="1" ht="17.25" customHeight="1" x14ac:dyDescent="0.4">
      <c r="C128" s="2" t="str">
        <f>C4</f>
        <v>주식회사 시디즈</v>
      </c>
      <c r="F128" s="2" t="str">
        <f>F4</f>
        <v>주식회사 일룸</v>
      </c>
    </row>
    <row r="129" spans="3:6" s="2" customFormat="1" ht="17.25" customHeight="1" x14ac:dyDescent="0.4">
      <c r="C129" s="2" t="str">
        <f>C5&amp;"            (인)"</f>
        <v>대표이사 김태은            (인)</v>
      </c>
      <c r="F129" s="2" t="str">
        <f>F5&amp;"            (인)"</f>
        <v>대표이사 정보은            (인)</v>
      </c>
    </row>
    <row r="130" spans="3:6" s="2" customFormat="1" ht="17.25" customHeight="1" x14ac:dyDescent="0.4"/>
    <row r="131" spans="3:6" s="2" customFormat="1" ht="17.25" customHeight="1" x14ac:dyDescent="0.4"/>
    <row r="132" spans="3:6" s="2" customFormat="1" ht="17.25" customHeight="1" x14ac:dyDescent="0.4"/>
    <row r="133" spans="3:6" s="2" customFormat="1" ht="17.25" customHeight="1" x14ac:dyDescent="0.4"/>
    <row r="134" spans="3:6" s="2" customFormat="1" ht="17.25" customHeight="1" x14ac:dyDescent="0.4"/>
    <row r="135" spans="3:6" s="2" customFormat="1" ht="17.25" customHeight="1" x14ac:dyDescent="0.4"/>
    <row r="136" spans="3:6" s="2" customFormat="1" ht="17.25" customHeight="1" x14ac:dyDescent="0.4"/>
    <row r="137" spans="3:6" s="2" customFormat="1" ht="17.25" customHeight="1" x14ac:dyDescent="0.4"/>
  </sheetData>
  <mergeCells count="47">
    <mergeCell ref="B121:F121"/>
    <mergeCell ref="B122:F122"/>
    <mergeCell ref="B123:F123"/>
    <mergeCell ref="B124:F124"/>
    <mergeCell ref="B126:F126"/>
    <mergeCell ref="B120:F120"/>
    <mergeCell ref="B81:F81"/>
    <mergeCell ref="B95:F95"/>
    <mergeCell ref="B101:F101"/>
    <mergeCell ref="B105:F105"/>
    <mergeCell ref="B111:F111"/>
    <mergeCell ref="B112:F112"/>
    <mergeCell ref="B113:F113"/>
    <mergeCell ref="B116:F116"/>
    <mergeCell ref="B117:F117"/>
    <mergeCell ref="B118:F118"/>
    <mergeCell ref="B119:F119"/>
    <mergeCell ref="B77:F77"/>
    <mergeCell ref="B49:F49"/>
    <mergeCell ref="B50:F50"/>
    <mergeCell ref="B51:F51"/>
    <mergeCell ref="B52:F52"/>
    <mergeCell ref="B53:F53"/>
    <mergeCell ref="B54:F54"/>
    <mergeCell ref="B55:F55"/>
    <mergeCell ref="B56:F56"/>
    <mergeCell ref="B62:F62"/>
    <mergeCell ref="B70:F70"/>
    <mergeCell ref="B73:F73"/>
    <mergeCell ref="B27:F27"/>
    <mergeCell ref="B12:F12"/>
    <mergeCell ref="B13:F13"/>
    <mergeCell ref="B14:F14"/>
    <mergeCell ref="B16:F16"/>
    <mergeCell ref="B17:F17"/>
    <mergeCell ref="B18:F18"/>
    <mergeCell ref="B20:F20"/>
    <mergeCell ref="B23:F23"/>
    <mergeCell ref="B24:F24"/>
    <mergeCell ref="B25:F25"/>
    <mergeCell ref="B26:F26"/>
    <mergeCell ref="B11:F11"/>
    <mergeCell ref="B1:F1"/>
    <mergeCell ref="B7:F7"/>
    <mergeCell ref="B8:F8"/>
    <mergeCell ref="B9:F9"/>
    <mergeCell ref="B10:F10"/>
  </mergeCells>
  <phoneticPr fontId="4" type="noConversion"/>
  <printOptions horizontalCentered="1"/>
  <pageMargins left="0.7" right="0.7" top="0.75" bottom="0.75" header="0.3" footer="0.3"/>
  <pageSetup paperSize="9"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B68B-7A15-426C-9974-74DE71B5107D}">
  <sheetPr>
    <tabColor theme="8" tint="0.79998168889431442"/>
    <pageSetUpPr fitToPage="1"/>
  </sheetPr>
  <dimension ref="A1:C58"/>
  <sheetViews>
    <sheetView view="pageBreakPreview" zoomScaleNormal="100" zoomScaleSheetLayoutView="100" workbookViewId="0">
      <selection activeCell="C27" sqref="C27"/>
    </sheetView>
  </sheetViews>
  <sheetFormatPr defaultColWidth="8.69921875" defaultRowHeight="17.25" customHeight="1" x14ac:dyDescent="0.4"/>
  <cols>
    <col min="1" max="2" width="14.3984375" style="10" customWidth="1"/>
    <col min="3" max="3" width="76" style="8" customWidth="1"/>
    <col min="4" max="218" width="8.69921875" style="9"/>
    <col min="219" max="219" width="13.69921875" style="9" bestFit="1" customWidth="1"/>
    <col min="220" max="220" width="18.69921875" style="9" bestFit="1" customWidth="1"/>
    <col min="221" max="221" width="8.69921875" style="9"/>
    <col min="222" max="222" width="8" style="9" customWidth="1"/>
    <col min="223" max="223" width="25" style="9" bestFit="1" customWidth="1"/>
    <col min="224" max="224" width="47.5" style="9" bestFit="1" customWidth="1"/>
    <col min="225" max="225" width="23.09765625" style="9" customWidth="1"/>
    <col min="226" max="232" width="9" style="9" customWidth="1"/>
    <col min="233" max="256" width="8.69921875" style="9"/>
    <col min="257" max="258" width="14.3984375" style="9" customWidth="1"/>
    <col min="259" max="259" width="76" style="9" customWidth="1"/>
    <col min="260" max="474" width="8.69921875" style="9"/>
    <col min="475" max="475" width="13.69921875" style="9" bestFit="1" customWidth="1"/>
    <col min="476" max="476" width="18.69921875" style="9" bestFit="1" customWidth="1"/>
    <col min="477" max="477" width="8.69921875" style="9"/>
    <col min="478" max="478" width="8" style="9" customWidth="1"/>
    <col min="479" max="479" width="25" style="9" bestFit="1" customWidth="1"/>
    <col min="480" max="480" width="47.5" style="9" bestFit="1" customWidth="1"/>
    <col min="481" max="481" width="23.09765625" style="9" customWidth="1"/>
    <col min="482" max="488" width="9" style="9" customWidth="1"/>
    <col min="489" max="512" width="8.69921875" style="9"/>
    <col min="513" max="514" width="14.3984375" style="9" customWidth="1"/>
    <col min="515" max="515" width="76" style="9" customWidth="1"/>
    <col min="516" max="730" width="8.69921875" style="9"/>
    <col min="731" max="731" width="13.69921875" style="9" bestFit="1" customWidth="1"/>
    <col min="732" max="732" width="18.69921875" style="9" bestFit="1" customWidth="1"/>
    <col min="733" max="733" width="8.69921875" style="9"/>
    <col min="734" max="734" width="8" style="9" customWidth="1"/>
    <col min="735" max="735" width="25" style="9" bestFit="1" customWidth="1"/>
    <col min="736" max="736" width="47.5" style="9" bestFit="1" customWidth="1"/>
    <col min="737" max="737" width="23.09765625" style="9" customWidth="1"/>
    <col min="738" max="744" width="9" style="9" customWidth="1"/>
    <col min="745" max="768" width="8.69921875" style="9"/>
    <col min="769" max="770" width="14.3984375" style="9" customWidth="1"/>
    <col min="771" max="771" width="76" style="9" customWidth="1"/>
    <col min="772" max="986" width="8.69921875" style="9"/>
    <col min="987" max="987" width="13.69921875" style="9" bestFit="1" customWidth="1"/>
    <col min="988" max="988" width="18.69921875" style="9" bestFit="1" customWidth="1"/>
    <col min="989" max="989" width="8.69921875" style="9"/>
    <col min="990" max="990" width="8" style="9" customWidth="1"/>
    <col min="991" max="991" width="25" style="9" bestFit="1" customWidth="1"/>
    <col min="992" max="992" width="47.5" style="9" bestFit="1" customWidth="1"/>
    <col min="993" max="993" width="23.09765625" style="9" customWidth="1"/>
    <col min="994" max="1000" width="9" style="9" customWidth="1"/>
    <col min="1001" max="1024" width="8.69921875" style="9"/>
    <col min="1025" max="1026" width="14.3984375" style="9" customWidth="1"/>
    <col min="1027" max="1027" width="76" style="9" customWidth="1"/>
    <col min="1028" max="1242" width="8.69921875" style="9"/>
    <col min="1243" max="1243" width="13.69921875" style="9" bestFit="1" customWidth="1"/>
    <col min="1244" max="1244" width="18.69921875" style="9" bestFit="1" customWidth="1"/>
    <col min="1245" max="1245" width="8.69921875" style="9"/>
    <col min="1246" max="1246" width="8" style="9" customWidth="1"/>
    <col min="1247" max="1247" width="25" style="9" bestFit="1" customWidth="1"/>
    <col min="1248" max="1248" width="47.5" style="9" bestFit="1" customWidth="1"/>
    <col min="1249" max="1249" width="23.09765625" style="9" customWidth="1"/>
    <col min="1250" max="1256" width="9" style="9" customWidth="1"/>
    <col min="1257" max="1280" width="8.69921875" style="9"/>
    <col min="1281" max="1282" width="14.3984375" style="9" customWidth="1"/>
    <col min="1283" max="1283" width="76" style="9" customWidth="1"/>
    <col min="1284" max="1498" width="8.69921875" style="9"/>
    <col min="1499" max="1499" width="13.69921875" style="9" bestFit="1" customWidth="1"/>
    <col min="1500" max="1500" width="18.69921875" style="9" bestFit="1" customWidth="1"/>
    <col min="1501" max="1501" width="8.69921875" style="9"/>
    <col min="1502" max="1502" width="8" style="9" customWidth="1"/>
    <col min="1503" max="1503" width="25" style="9" bestFit="1" customWidth="1"/>
    <col min="1504" max="1504" width="47.5" style="9" bestFit="1" customWidth="1"/>
    <col min="1505" max="1505" width="23.09765625" style="9" customWidth="1"/>
    <col min="1506" max="1512" width="9" style="9" customWidth="1"/>
    <col min="1513" max="1536" width="8.69921875" style="9"/>
    <col min="1537" max="1538" width="14.3984375" style="9" customWidth="1"/>
    <col min="1539" max="1539" width="76" style="9" customWidth="1"/>
    <col min="1540" max="1754" width="8.69921875" style="9"/>
    <col min="1755" max="1755" width="13.69921875" style="9" bestFit="1" customWidth="1"/>
    <col min="1756" max="1756" width="18.69921875" style="9" bestFit="1" customWidth="1"/>
    <col min="1757" max="1757" width="8.69921875" style="9"/>
    <col min="1758" max="1758" width="8" style="9" customWidth="1"/>
    <col min="1759" max="1759" width="25" style="9" bestFit="1" customWidth="1"/>
    <col min="1760" max="1760" width="47.5" style="9" bestFit="1" customWidth="1"/>
    <col min="1761" max="1761" width="23.09765625" style="9" customWidth="1"/>
    <col min="1762" max="1768" width="9" style="9" customWidth="1"/>
    <col min="1769" max="1792" width="8.69921875" style="9"/>
    <col min="1793" max="1794" width="14.3984375" style="9" customWidth="1"/>
    <col min="1795" max="1795" width="76" style="9" customWidth="1"/>
    <col min="1796" max="2010" width="8.69921875" style="9"/>
    <col min="2011" max="2011" width="13.69921875" style="9" bestFit="1" customWidth="1"/>
    <col min="2012" max="2012" width="18.69921875" style="9" bestFit="1" customWidth="1"/>
    <col min="2013" max="2013" width="8.69921875" style="9"/>
    <col min="2014" max="2014" width="8" style="9" customWidth="1"/>
    <col min="2015" max="2015" width="25" style="9" bestFit="1" customWidth="1"/>
    <col min="2016" max="2016" width="47.5" style="9" bestFit="1" customWidth="1"/>
    <col min="2017" max="2017" width="23.09765625" style="9" customWidth="1"/>
    <col min="2018" max="2024" width="9" style="9" customWidth="1"/>
    <col min="2025" max="2048" width="8.69921875" style="9"/>
    <col min="2049" max="2050" width="14.3984375" style="9" customWidth="1"/>
    <col min="2051" max="2051" width="76" style="9" customWidth="1"/>
    <col min="2052" max="2266" width="8.69921875" style="9"/>
    <col min="2267" max="2267" width="13.69921875" style="9" bestFit="1" customWidth="1"/>
    <col min="2268" max="2268" width="18.69921875" style="9" bestFit="1" customWidth="1"/>
    <col min="2269" max="2269" width="8.69921875" style="9"/>
    <col min="2270" max="2270" width="8" style="9" customWidth="1"/>
    <col min="2271" max="2271" width="25" style="9" bestFit="1" customWidth="1"/>
    <col min="2272" max="2272" width="47.5" style="9" bestFit="1" customWidth="1"/>
    <col min="2273" max="2273" width="23.09765625" style="9" customWidth="1"/>
    <col min="2274" max="2280" width="9" style="9" customWidth="1"/>
    <col min="2281" max="2304" width="8.69921875" style="9"/>
    <col min="2305" max="2306" width="14.3984375" style="9" customWidth="1"/>
    <col min="2307" max="2307" width="76" style="9" customWidth="1"/>
    <col min="2308" max="2522" width="8.69921875" style="9"/>
    <col min="2523" max="2523" width="13.69921875" style="9" bestFit="1" customWidth="1"/>
    <col min="2524" max="2524" width="18.69921875" style="9" bestFit="1" customWidth="1"/>
    <col min="2525" max="2525" width="8.69921875" style="9"/>
    <col min="2526" max="2526" width="8" style="9" customWidth="1"/>
    <col min="2527" max="2527" width="25" style="9" bestFit="1" customWidth="1"/>
    <col min="2528" max="2528" width="47.5" style="9" bestFit="1" customWidth="1"/>
    <col min="2529" max="2529" width="23.09765625" style="9" customWidth="1"/>
    <col min="2530" max="2536" width="9" style="9" customWidth="1"/>
    <col min="2537" max="2560" width="8.69921875" style="9"/>
    <col min="2561" max="2562" width="14.3984375" style="9" customWidth="1"/>
    <col min="2563" max="2563" width="76" style="9" customWidth="1"/>
    <col min="2564" max="2778" width="8.69921875" style="9"/>
    <col min="2779" max="2779" width="13.69921875" style="9" bestFit="1" customWidth="1"/>
    <col min="2780" max="2780" width="18.69921875" style="9" bestFit="1" customWidth="1"/>
    <col min="2781" max="2781" width="8.69921875" style="9"/>
    <col min="2782" max="2782" width="8" style="9" customWidth="1"/>
    <col min="2783" max="2783" width="25" style="9" bestFit="1" customWidth="1"/>
    <col min="2784" max="2784" width="47.5" style="9" bestFit="1" customWidth="1"/>
    <col min="2785" max="2785" width="23.09765625" style="9" customWidth="1"/>
    <col min="2786" max="2792" width="9" style="9" customWidth="1"/>
    <col min="2793" max="2816" width="8.69921875" style="9"/>
    <col min="2817" max="2818" width="14.3984375" style="9" customWidth="1"/>
    <col min="2819" max="2819" width="76" style="9" customWidth="1"/>
    <col min="2820" max="3034" width="8.69921875" style="9"/>
    <col min="3035" max="3035" width="13.69921875" style="9" bestFit="1" customWidth="1"/>
    <col min="3036" max="3036" width="18.69921875" style="9" bestFit="1" customWidth="1"/>
    <col min="3037" max="3037" width="8.69921875" style="9"/>
    <col min="3038" max="3038" width="8" style="9" customWidth="1"/>
    <col min="3039" max="3039" width="25" style="9" bestFit="1" customWidth="1"/>
    <col min="3040" max="3040" width="47.5" style="9" bestFit="1" customWidth="1"/>
    <col min="3041" max="3041" width="23.09765625" style="9" customWidth="1"/>
    <col min="3042" max="3048" width="9" style="9" customWidth="1"/>
    <col min="3049" max="3072" width="8.69921875" style="9"/>
    <col min="3073" max="3074" width="14.3984375" style="9" customWidth="1"/>
    <col min="3075" max="3075" width="76" style="9" customWidth="1"/>
    <col min="3076" max="3290" width="8.69921875" style="9"/>
    <col min="3291" max="3291" width="13.69921875" style="9" bestFit="1" customWidth="1"/>
    <col min="3292" max="3292" width="18.69921875" style="9" bestFit="1" customWidth="1"/>
    <col min="3293" max="3293" width="8.69921875" style="9"/>
    <col min="3294" max="3294" width="8" style="9" customWidth="1"/>
    <col min="3295" max="3295" width="25" style="9" bestFit="1" customWidth="1"/>
    <col min="3296" max="3296" width="47.5" style="9" bestFit="1" customWidth="1"/>
    <col min="3297" max="3297" width="23.09765625" style="9" customWidth="1"/>
    <col min="3298" max="3304" width="9" style="9" customWidth="1"/>
    <col min="3305" max="3328" width="8.69921875" style="9"/>
    <col min="3329" max="3330" width="14.3984375" style="9" customWidth="1"/>
    <col min="3331" max="3331" width="76" style="9" customWidth="1"/>
    <col min="3332" max="3546" width="8.69921875" style="9"/>
    <col min="3547" max="3547" width="13.69921875" style="9" bestFit="1" customWidth="1"/>
    <col min="3548" max="3548" width="18.69921875" style="9" bestFit="1" customWidth="1"/>
    <col min="3549" max="3549" width="8.69921875" style="9"/>
    <col min="3550" max="3550" width="8" style="9" customWidth="1"/>
    <col min="3551" max="3551" width="25" style="9" bestFit="1" customWidth="1"/>
    <col min="3552" max="3552" width="47.5" style="9" bestFit="1" customWidth="1"/>
    <col min="3553" max="3553" width="23.09765625" style="9" customWidth="1"/>
    <col min="3554" max="3560" width="9" style="9" customWidth="1"/>
    <col min="3561" max="3584" width="8.69921875" style="9"/>
    <col min="3585" max="3586" width="14.3984375" style="9" customWidth="1"/>
    <col min="3587" max="3587" width="76" style="9" customWidth="1"/>
    <col min="3588" max="3802" width="8.69921875" style="9"/>
    <col min="3803" max="3803" width="13.69921875" style="9" bestFit="1" customWidth="1"/>
    <col min="3804" max="3804" width="18.69921875" style="9" bestFit="1" customWidth="1"/>
    <col min="3805" max="3805" width="8.69921875" style="9"/>
    <col min="3806" max="3806" width="8" style="9" customWidth="1"/>
    <col min="3807" max="3807" width="25" style="9" bestFit="1" customWidth="1"/>
    <col min="3808" max="3808" width="47.5" style="9" bestFit="1" customWidth="1"/>
    <col min="3809" max="3809" width="23.09765625" style="9" customWidth="1"/>
    <col min="3810" max="3816" width="9" style="9" customWidth="1"/>
    <col min="3817" max="3840" width="8.69921875" style="9"/>
    <col min="3841" max="3842" width="14.3984375" style="9" customWidth="1"/>
    <col min="3843" max="3843" width="76" style="9" customWidth="1"/>
    <col min="3844" max="4058" width="8.69921875" style="9"/>
    <col min="4059" max="4059" width="13.69921875" style="9" bestFit="1" customWidth="1"/>
    <col min="4060" max="4060" width="18.69921875" style="9" bestFit="1" customWidth="1"/>
    <col min="4061" max="4061" width="8.69921875" style="9"/>
    <col min="4062" max="4062" width="8" style="9" customWidth="1"/>
    <col min="4063" max="4063" width="25" style="9" bestFit="1" customWidth="1"/>
    <col min="4064" max="4064" width="47.5" style="9" bestFit="1" customWidth="1"/>
    <col min="4065" max="4065" width="23.09765625" style="9" customWidth="1"/>
    <col min="4066" max="4072" width="9" style="9" customWidth="1"/>
    <col min="4073" max="4096" width="8.69921875" style="9"/>
    <col min="4097" max="4098" width="14.3984375" style="9" customWidth="1"/>
    <col min="4099" max="4099" width="76" style="9" customWidth="1"/>
    <col min="4100" max="4314" width="8.69921875" style="9"/>
    <col min="4315" max="4315" width="13.69921875" style="9" bestFit="1" customWidth="1"/>
    <col min="4316" max="4316" width="18.69921875" style="9" bestFit="1" customWidth="1"/>
    <col min="4317" max="4317" width="8.69921875" style="9"/>
    <col min="4318" max="4318" width="8" style="9" customWidth="1"/>
    <col min="4319" max="4319" width="25" style="9" bestFit="1" customWidth="1"/>
    <col min="4320" max="4320" width="47.5" style="9" bestFit="1" customWidth="1"/>
    <col min="4321" max="4321" width="23.09765625" style="9" customWidth="1"/>
    <col min="4322" max="4328" width="9" style="9" customWidth="1"/>
    <col min="4329" max="4352" width="8.69921875" style="9"/>
    <col min="4353" max="4354" width="14.3984375" style="9" customWidth="1"/>
    <col min="4355" max="4355" width="76" style="9" customWidth="1"/>
    <col min="4356" max="4570" width="8.69921875" style="9"/>
    <col min="4571" max="4571" width="13.69921875" style="9" bestFit="1" customWidth="1"/>
    <col min="4572" max="4572" width="18.69921875" style="9" bestFit="1" customWidth="1"/>
    <col min="4573" max="4573" width="8.69921875" style="9"/>
    <col min="4574" max="4574" width="8" style="9" customWidth="1"/>
    <col min="4575" max="4575" width="25" style="9" bestFit="1" customWidth="1"/>
    <col min="4576" max="4576" width="47.5" style="9" bestFit="1" customWidth="1"/>
    <col min="4577" max="4577" width="23.09765625" style="9" customWidth="1"/>
    <col min="4578" max="4584" width="9" style="9" customWidth="1"/>
    <col min="4585" max="4608" width="8.69921875" style="9"/>
    <col min="4609" max="4610" width="14.3984375" style="9" customWidth="1"/>
    <col min="4611" max="4611" width="76" style="9" customWidth="1"/>
    <col min="4612" max="4826" width="8.69921875" style="9"/>
    <col min="4827" max="4827" width="13.69921875" style="9" bestFit="1" customWidth="1"/>
    <col min="4828" max="4828" width="18.69921875" style="9" bestFit="1" customWidth="1"/>
    <col min="4829" max="4829" width="8.69921875" style="9"/>
    <col min="4830" max="4830" width="8" style="9" customWidth="1"/>
    <col min="4831" max="4831" width="25" style="9" bestFit="1" customWidth="1"/>
    <col min="4832" max="4832" width="47.5" style="9" bestFit="1" customWidth="1"/>
    <col min="4833" max="4833" width="23.09765625" style="9" customWidth="1"/>
    <col min="4834" max="4840" width="9" style="9" customWidth="1"/>
    <col min="4841" max="4864" width="8.69921875" style="9"/>
    <col min="4865" max="4866" width="14.3984375" style="9" customWidth="1"/>
    <col min="4867" max="4867" width="76" style="9" customWidth="1"/>
    <col min="4868" max="5082" width="8.69921875" style="9"/>
    <col min="5083" max="5083" width="13.69921875" style="9" bestFit="1" customWidth="1"/>
    <col min="5084" max="5084" width="18.69921875" style="9" bestFit="1" customWidth="1"/>
    <col min="5085" max="5085" width="8.69921875" style="9"/>
    <col min="5086" max="5086" width="8" style="9" customWidth="1"/>
    <col min="5087" max="5087" width="25" style="9" bestFit="1" customWidth="1"/>
    <col min="5088" max="5088" width="47.5" style="9" bestFit="1" customWidth="1"/>
    <col min="5089" max="5089" width="23.09765625" style="9" customWidth="1"/>
    <col min="5090" max="5096" width="9" style="9" customWidth="1"/>
    <col min="5097" max="5120" width="8.69921875" style="9"/>
    <col min="5121" max="5122" width="14.3984375" style="9" customWidth="1"/>
    <col min="5123" max="5123" width="76" style="9" customWidth="1"/>
    <col min="5124" max="5338" width="8.69921875" style="9"/>
    <col min="5339" max="5339" width="13.69921875" style="9" bestFit="1" customWidth="1"/>
    <col min="5340" max="5340" width="18.69921875" style="9" bestFit="1" customWidth="1"/>
    <col min="5341" max="5341" width="8.69921875" style="9"/>
    <col min="5342" max="5342" width="8" style="9" customWidth="1"/>
    <col min="5343" max="5343" width="25" style="9" bestFit="1" customWidth="1"/>
    <col min="5344" max="5344" width="47.5" style="9" bestFit="1" customWidth="1"/>
    <col min="5345" max="5345" width="23.09765625" style="9" customWidth="1"/>
    <col min="5346" max="5352" width="9" style="9" customWidth="1"/>
    <col min="5353" max="5376" width="8.69921875" style="9"/>
    <col min="5377" max="5378" width="14.3984375" style="9" customWidth="1"/>
    <col min="5379" max="5379" width="76" style="9" customWidth="1"/>
    <col min="5380" max="5594" width="8.69921875" style="9"/>
    <col min="5595" max="5595" width="13.69921875" style="9" bestFit="1" customWidth="1"/>
    <col min="5596" max="5596" width="18.69921875" style="9" bestFit="1" customWidth="1"/>
    <col min="5597" max="5597" width="8.69921875" style="9"/>
    <col min="5598" max="5598" width="8" style="9" customWidth="1"/>
    <col min="5599" max="5599" width="25" style="9" bestFit="1" customWidth="1"/>
    <col min="5600" max="5600" width="47.5" style="9" bestFit="1" customWidth="1"/>
    <col min="5601" max="5601" width="23.09765625" style="9" customWidth="1"/>
    <col min="5602" max="5608" width="9" style="9" customWidth="1"/>
    <col min="5609" max="5632" width="8.69921875" style="9"/>
    <col min="5633" max="5634" width="14.3984375" style="9" customWidth="1"/>
    <col min="5635" max="5635" width="76" style="9" customWidth="1"/>
    <col min="5636" max="5850" width="8.69921875" style="9"/>
    <col min="5851" max="5851" width="13.69921875" style="9" bestFit="1" customWidth="1"/>
    <col min="5852" max="5852" width="18.69921875" style="9" bestFit="1" customWidth="1"/>
    <col min="5853" max="5853" width="8.69921875" style="9"/>
    <col min="5854" max="5854" width="8" style="9" customWidth="1"/>
    <col min="5855" max="5855" width="25" style="9" bestFit="1" customWidth="1"/>
    <col min="5856" max="5856" width="47.5" style="9" bestFit="1" customWidth="1"/>
    <col min="5857" max="5857" width="23.09765625" style="9" customWidth="1"/>
    <col min="5858" max="5864" width="9" style="9" customWidth="1"/>
    <col min="5865" max="5888" width="8.69921875" style="9"/>
    <col min="5889" max="5890" width="14.3984375" style="9" customWidth="1"/>
    <col min="5891" max="5891" width="76" style="9" customWidth="1"/>
    <col min="5892" max="6106" width="8.69921875" style="9"/>
    <col min="6107" max="6107" width="13.69921875" style="9" bestFit="1" customWidth="1"/>
    <col min="6108" max="6108" width="18.69921875" style="9" bestFit="1" customWidth="1"/>
    <col min="6109" max="6109" width="8.69921875" style="9"/>
    <col min="6110" max="6110" width="8" style="9" customWidth="1"/>
    <col min="6111" max="6111" width="25" style="9" bestFit="1" customWidth="1"/>
    <col min="6112" max="6112" width="47.5" style="9" bestFit="1" customWidth="1"/>
    <col min="6113" max="6113" width="23.09765625" style="9" customWidth="1"/>
    <col min="6114" max="6120" width="9" style="9" customWidth="1"/>
    <col min="6121" max="6144" width="8.69921875" style="9"/>
    <col min="6145" max="6146" width="14.3984375" style="9" customWidth="1"/>
    <col min="6147" max="6147" width="76" style="9" customWidth="1"/>
    <col min="6148" max="6362" width="8.69921875" style="9"/>
    <col min="6363" max="6363" width="13.69921875" style="9" bestFit="1" customWidth="1"/>
    <col min="6364" max="6364" width="18.69921875" style="9" bestFit="1" customWidth="1"/>
    <col min="6365" max="6365" width="8.69921875" style="9"/>
    <col min="6366" max="6366" width="8" style="9" customWidth="1"/>
    <col min="6367" max="6367" width="25" style="9" bestFit="1" customWidth="1"/>
    <col min="6368" max="6368" width="47.5" style="9" bestFit="1" customWidth="1"/>
    <col min="6369" max="6369" width="23.09765625" style="9" customWidth="1"/>
    <col min="6370" max="6376" width="9" style="9" customWidth="1"/>
    <col min="6377" max="6400" width="8.69921875" style="9"/>
    <col min="6401" max="6402" width="14.3984375" style="9" customWidth="1"/>
    <col min="6403" max="6403" width="76" style="9" customWidth="1"/>
    <col min="6404" max="6618" width="8.69921875" style="9"/>
    <col min="6619" max="6619" width="13.69921875" style="9" bestFit="1" customWidth="1"/>
    <col min="6620" max="6620" width="18.69921875" style="9" bestFit="1" customWidth="1"/>
    <col min="6621" max="6621" width="8.69921875" style="9"/>
    <col min="6622" max="6622" width="8" style="9" customWidth="1"/>
    <col min="6623" max="6623" width="25" style="9" bestFit="1" customWidth="1"/>
    <col min="6624" max="6624" width="47.5" style="9" bestFit="1" customWidth="1"/>
    <col min="6625" max="6625" width="23.09765625" style="9" customWidth="1"/>
    <col min="6626" max="6632" width="9" style="9" customWidth="1"/>
    <col min="6633" max="6656" width="8.69921875" style="9"/>
    <col min="6657" max="6658" width="14.3984375" style="9" customWidth="1"/>
    <col min="6659" max="6659" width="76" style="9" customWidth="1"/>
    <col min="6660" max="6874" width="8.69921875" style="9"/>
    <col min="6875" max="6875" width="13.69921875" style="9" bestFit="1" customWidth="1"/>
    <col min="6876" max="6876" width="18.69921875" style="9" bestFit="1" customWidth="1"/>
    <col min="6877" max="6877" width="8.69921875" style="9"/>
    <col min="6878" max="6878" width="8" style="9" customWidth="1"/>
    <col min="6879" max="6879" width="25" style="9" bestFit="1" customWidth="1"/>
    <col min="6880" max="6880" width="47.5" style="9" bestFit="1" customWidth="1"/>
    <col min="6881" max="6881" width="23.09765625" style="9" customWidth="1"/>
    <col min="6882" max="6888" width="9" style="9" customWidth="1"/>
    <col min="6889" max="6912" width="8.69921875" style="9"/>
    <col min="6913" max="6914" width="14.3984375" style="9" customWidth="1"/>
    <col min="6915" max="6915" width="76" style="9" customWidth="1"/>
    <col min="6916" max="7130" width="8.69921875" style="9"/>
    <col min="7131" max="7131" width="13.69921875" style="9" bestFit="1" customWidth="1"/>
    <col min="7132" max="7132" width="18.69921875" style="9" bestFit="1" customWidth="1"/>
    <col min="7133" max="7133" width="8.69921875" style="9"/>
    <col min="7134" max="7134" width="8" style="9" customWidth="1"/>
    <col min="7135" max="7135" width="25" style="9" bestFit="1" customWidth="1"/>
    <col min="7136" max="7136" width="47.5" style="9" bestFit="1" customWidth="1"/>
    <col min="7137" max="7137" width="23.09765625" style="9" customWidth="1"/>
    <col min="7138" max="7144" width="9" style="9" customWidth="1"/>
    <col min="7145" max="7168" width="8.69921875" style="9"/>
    <col min="7169" max="7170" width="14.3984375" style="9" customWidth="1"/>
    <col min="7171" max="7171" width="76" style="9" customWidth="1"/>
    <col min="7172" max="7386" width="8.69921875" style="9"/>
    <col min="7387" max="7387" width="13.69921875" style="9" bestFit="1" customWidth="1"/>
    <col min="7388" max="7388" width="18.69921875" style="9" bestFit="1" customWidth="1"/>
    <col min="7389" max="7389" width="8.69921875" style="9"/>
    <col min="7390" max="7390" width="8" style="9" customWidth="1"/>
    <col min="7391" max="7391" width="25" style="9" bestFit="1" customWidth="1"/>
    <col min="7392" max="7392" width="47.5" style="9" bestFit="1" customWidth="1"/>
    <col min="7393" max="7393" width="23.09765625" style="9" customWidth="1"/>
    <col min="7394" max="7400" width="9" style="9" customWidth="1"/>
    <col min="7401" max="7424" width="8.69921875" style="9"/>
    <col min="7425" max="7426" width="14.3984375" style="9" customWidth="1"/>
    <col min="7427" max="7427" width="76" style="9" customWidth="1"/>
    <col min="7428" max="7642" width="8.69921875" style="9"/>
    <col min="7643" max="7643" width="13.69921875" style="9" bestFit="1" customWidth="1"/>
    <col min="7644" max="7644" width="18.69921875" style="9" bestFit="1" customWidth="1"/>
    <col min="7645" max="7645" width="8.69921875" style="9"/>
    <col min="7646" max="7646" width="8" style="9" customWidth="1"/>
    <col min="7647" max="7647" width="25" style="9" bestFit="1" customWidth="1"/>
    <col min="7648" max="7648" width="47.5" style="9" bestFit="1" customWidth="1"/>
    <col min="7649" max="7649" width="23.09765625" style="9" customWidth="1"/>
    <col min="7650" max="7656" width="9" style="9" customWidth="1"/>
    <col min="7657" max="7680" width="8.69921875" style="9"/>
    <col min="7681" max="7682" width="14.3984375" style="9" customWidth="1"/>
    <col min="7683" max="7683" width="76" style="9" customWidth="1"/>
    <col min="7684" max="7898" width="8.69921875" style="9"/>
    <col min="7899" max="7899" width="13.69921875" style="9" bestFit="1" customWidth="1"/>
    <col min="7900" max="7900" width="18.69921875" style="9" bestFit="1" customWidth="1"/>
    <col min="7901" max="7901" width="8.69921875" style="9"/>
    <col min="7902" max="7902" width="8" style="9" customWidth="1"/>
    <col min="7903" max="7903" width="25" style="9" bestFit="1" customWidth="1"/>
    <col min="7904" max="7904" width="47.5" style="9" bestFit="1" customWidth="1"/>
    <col min="7905" max="7905" width="23.09765625" style="9" customWidth="1"/>
    <col min="7906" max="7912" width="9" style="9" customWidth="1"/>
    <col min="7913" max="7936" width="8.69921875" style="9"/>
    <col min="7937" max="7938" width="14.3984375" style="9" customWidth="1"/>
    <col min="7939" max="7939" width="76" style="9" customWidth="1"/>
    <col min="7940" max="8154" width="8.69921875" style="9"/>
    <col min="8155" max="8155" width="13.69921875" style="9" bestFit="1" customWidth="1"/>
    <col min="8156" max="8156" width="18.69921875" style="9" bestFit="1" customWidth="1"/>
    <col min="8157" max="8157" width="8.69921875" style="9"/>
    <col min="8158" max="8158" width="8" style="9" customWidth="1"/>
    <col min="8159" max="8159" width="25" style="9" bestFit="1" customWidth="1"/>
    <col min="8160" max="8160" width="47.5" style="9" bestFit="1" customWidth="1"/>
    <col min="8161" max="8161" width="23.09765625" style="9" customWidth="1"/>
    <col min="8162" max="8168" width="9" style="9" customWidth="1"/>
    <col min="8169" max="8192" width="8.69921875" style="9"/>
    <col min="8193" max="8194" width="14.3984375" style="9" customWidth="1"/>
    <col min="8195" max="8195" width="76" style="9" customWidth="1"/>
    <col min="8196" max="8410" width="8.69921875" style="9"/>
    <col min="8411" max="8411" width="13.69921875" style="9" bestFit="1" customWidth="1"/>
    <col min="8412" max="8412" width="18.69921875" style="9" bestFit="1" customWidth="1"/>
    <col min="8413" max="8413" width="8.69921875" style="9"/>
    <col min="8414" max="8414" width="8" style="9" customWidth="1"/>
    <col min="8415" max="8415" width="25" style="9" bestFit="1" customWidth="1"/>
    <col min="8416" max="8416" width="47.5" style="9" bestFit="1" customWidth="1"/>
    <col min="8417" max="8417" width="23.09765625" style="9" customWidth="1"/>
    <col min="8418" max="8424" width="9" style="9" customWidth="1"/>
    <col min="8425" max="8448" width="8.69921875" style="9"/>
    <col min="8449" max="8450" width="14.3984375" style="9" customWidth="1"/>
    <col min="8451" max="8451" width="76" style="9" customWidth="1"/>
    <col min="8452" max="8666" width="8.69921875" style="9"/>
    <col min="8667" max="8667" width="13.69921875" style="9" bestFit="1" customWidth="1"/>
    <col min="8668" max="8668" width="18.69921875" style="9" bestFit="1" customWidth="1"/>
    <col min="8669" max="8669" width="8.69921875" style="9"/>
    <col min="8670" max="8670" width="8" style="9" customWidth="1"/>
    <col min="8671" max="8671" width="25" style="9" bestFit="1" customWidth="1"/>
    <col min="8672" max="8672" width="47.5" style="9" bestFit="1" customWidth="1"/>
    <col min="8673" max="8673" width="23.09765625" style="9" customWidth="1"/>
    <col min="8674" max="8680" width="9" style="9" customWidth="1"/>
    <col min="8681" max="8704" width="8.69921875" style="9"/>
    <col min="8705" max="8706" width="14.3984375" style="9" customWidth="1"/>
    <col min="8707" max="8707" width="76" style="9" customWidth="1"/>
    <col min="8708" max="8922" width="8.69921875" style="9"/>
    <col min="8923" max="8923" width="13.69921875" style="9" bestFit="1" customWidth="1"/>
    <col min="8924" max="8924" width="18.69921875" style="9" bestFit="1" customWidth="1"/>
    <col min="8925" max="8925" width="8.69921875" style="9"/>
    <col min="8926" max="8926" width="8" style="9" customWidth="1"/>
    <col min="8927" max="8927" width="25" style="9" bestFit="1" customWidth="1"/>
    <col min="8928" max="8928" width="47.5" style="9" bestFit="1" customWidth="1"/>
    <col min="8929" max="8929" width="23.09765625" style="9" customWidth="1"/>
    <col min="8930" max="8936" width="9" style="9" customWidth="1"/>
    <col min="8937" max="8960" width="8.69921875" style="9"/>
    <col min="8961" max="8962" width="14.3984375" style="9" customWidth="1"/>
    <col min="8963" max="8963" width="76" style="9" customWidth="1"/>
    <col min="8964" max="9178" width="8.69921875" style="9"/>
    <col min="9179" max="9179" width="13.69921875" style="9" bestFit="1" customWidth="1"/>
    <col min="9180" max="9180" width="18.69921875" style="9" bestFit="1" customWidth="1"/>
    <col min="9181" max="9181" width="8.69921875" style="9"/>
    <col min="9182" max="9182" width="8" style="9" customWidth="1"/>
    <col min="9183" max="9183" width="25" style="9" bestFit="1" customWidth="1"/>
    <col min="9184" max="9184" width="47.5" style="9" bestFit="1" customWidth="1"/>
    <col min="9185" max="9185" width="23.09765625" style="9" customWidth="1"/>
    <col min="9186" max="9192" width="9" style="9" customWidth="1"/>
    <col min="9193" max="9216" width="8.69921875" style="9"/>
    <col min="9217" max="9218" width="14.3984375" style="9" customWidth="1"/>
    <col min="9219" max="9219" width="76" style="9" customWidth="1"/>
    <col min="9220" max="9434" width="8.69921875" style="9"/>
    <col min="9435" max="9435" width="13.69921875" style="9" bestFit="1" customWidth="1"/>
    <col min="9436" max="9436" width="18.69921875" style="9" bestFit="1" customWidth="1"/>
    <col min="9437" max="9437" width="8.69921875" style="9"/>
    <col min="9438" max="9438" width="8" style="9" customWidth="1"/>
    <col min="9439" max="9439" width="25" style="9" bestFit="1" customWidth="1"/>
    <col min="9440" max="9440" width="47.5" style="9" bestFit="1" customWidth="1"/>
    <col min="9441" max="9441" width="23.09765625" style="9" customWidth="1"/>
    <col min="9442" max="9448" width="9" style="9" customWidth="1"/>
    <col min="9449" max="9472" width="8.69921875" style="9"/>
    <col min="9473" max="9474" width="14.3984375" style="9" customWidth="1"/>
    <col min="9475" max="9475" width="76" style="9" customWidth="1"/>
    <col min="9476" max="9690" width="8.69921875" style="9"/>
    <col min="9691" max="9691" width="13.69921875" style="9" bestFit="1" customWidth="1"/>
    <col min="9692" max="9692" width="18.69921875" style="9" bestFit="1" customWidth="1"/>
    <col min="9693" max="9693" width="8.69921875" style="9"/>
    <col min="9694" max="9694" width="8" style="9" customWidth="1"/>
    <col min="9695" max="9695" width="25" style="9" bestFit="1" customWidth="1"/>
    <col min="9696" max="9696" width="47.5" style="9" bestFit="1" customWidth="1"/>
    <col min="9697" max="9697" width="23.09765625" style="9" customWidth="1"/>
    <col min="9698" max="9704" width="9" style="9" customWidth="1"/>
    <col min="9705" max="9728" width="8.69921875" style="9"/>
    <col min="9729" max="9730" width="14.3984375" style="9" customWidth="1"/>
    <col min="9731" max="9731" width="76" style="9" customWidth="1"/>
    <col min="9732" max="9946" width="8.69921875" style="9"/>
    <col min="9947" max="9947" width="13.69921875" style="9" bestFit="1" customWidth="1"/>
    <col min="9948" max="9948" width="18.69921875" style="9" bestFit="1" customWidth="1"/>
    <col min="9949" max="9949" width="8.69921875" style="9"/>
    <col min="9950" max="9950" width="8" style="9" customWidth="1"/>
    <col min="9951" max="9951" width="25" style="9" bestFit="1" customWidth="1"/>
    <col min="9952" max="9952" width="47.5" style="9" bestFit="1" customWidth="1"/>
    <col min="9953" max="9953" width="23.09765625" style="9" customWidth="1"/>
    <col min="9954" max="9960" width="9" style="9" customWidth="1"/>
    <col min="9961" max="9984" width="8.69921875" style="9"/>
    <col min="9985" max="9986" width="14.3984375" style="9" customWidth="1"/>
    <col min="9987" max="9987" width="76" style="9" customWidth="1"/>
    <col min="9988" max="10202" width="8.69921875" style="9"/>
    <col min="10203" max="10203" width="13.69921875" style="9" bestFit="1" customWidth="1"/>
    <col min="10204" max="10204" width="18.69921875" style="9" bestFit="1" customWidth="1"/>
    <col min="10205" max="10205" width="8.69921875" style="9"/>
    <col min="10206" max="10206" width="8" style="9" customWidth="1"/>
    <col min="10207" max="10207" width="25" style="9" bestFit="1" customWidth="1"/>
    <col min="10208" max="10208" width="47.5" style="9" bestFit="1" customWidth="1"/>
    <col min="10209" max="10209" width="23.09765625" style="9" customWidth="1"/>
    <col min="10210" max="10216" width="9" style="9" customWidth="1"/>
    <col min="10217" max="10240" width="8.69921875" style="9"/>
    <col min="10241" max="10242" width="14.3984375" style="9" customWidth="1"/>
    <col min="10243" max="10243" width="76" style="9" customWidth="1"/>
    <col min="10244" max="10458" width="8.69921875" style="9"/>
    <col min="10459" max="10459" width="13.69921875" style="9" bestFit="1" customWidth="1"/>
    <col min="10460" max="10460" width="18.69921875" style="9" bestFit="1" customWidth="1"/>
    <col min="10461" max="10461" width="8.69921875" style="9"/>
    <col min="10462" max="10462" width="8" style="9" customWidth="1"/>
    <col min="10463" max="10463" width="25" style="9" bestFit="1" customWidth="1"/>
    <col min="10464" max="10464" width="47.5" style="9" bestFit="1" customWidth="1"/>
    <col min="10465" max="10465" width="23.09765625" style="9" customWidth="1"/>
    <col min="10466" max="10472" width="9" style="9" customWidth="1"/>
    <col min="10473" max="10496" width="8.69921875" style="9"/>
    <col min="10497" max="10498" width="14.3984375" style="9" customWidth="1"/>
    <col min="10499" max="10499" width="76" style="9" customWidth="1"/>
    <col min="10500" max="10714" width="8.69921875" style="9"/>
    <col min="10715" max="10715" width="13.69921875" style="9" bestFit="1" customWidth="1"/>
    <col min="10716" max="10716" width="18.69921875" style="9" bestFit="1" customWidth="1"/>
    <col min="10717" max="10717" width="8.69921875" style="9"/>
    <col min="10718" max="10718" width="8" style="9" customWidth="1"/>
    <col min="10719" max="10719" width="25" style="9" bestFit="1" customWidth="1"/>
    <col min="10720" max="10720" width="47.5" style="9" bestFit="1" customWidth="1"/>
    <col min="10721" max="10721" width="23.09765625" style="9" customWidth="1"/>
    <col min="10722" max="10728" width="9" style="9" customWidth="1"/>
    <col min="10729" max="10752" width="8.69921875" style="9"/>
    <col min="10753" max="10754" width="14.3984375" style="9" customWidth="1"/>
    <col min="10755" max="10755" width="76" style="9" customWidth="1"/>
    <col min="10756" max="10970" width="8.69921875" style="9"/>
    <col min="10971" max="10971" width="13.69921875" style="9" bestFit="1" customWidth="1"/>
    <col min="10972" max="10972" width="18.69921875" style="9" bestFit="1" customWidth="1"/>
    <col min="10973" max="10973" width="8.69921875" style="9"/>
    <col min="10974" max="10974" width="8" style="9" customWidth="1"/>
    <col min="10975" max="10975" width="25" style="9" bestFit="1" customWidth="1"/>
    <col min="10976" max="10976" width="47.5" style="9" bestFit="1" customWidth="1"/>
    <col min="10977" max="10977" width="23.09765625" style="9" customWidth="1"/>
    <col min="10978" max="10984" width="9" style="9" customWidth="1"/>
    <col min="10985" max="11008" width="8.69921875" style="9"/>
    <col min="11009" max="11010" width="14.3984375" style="9" customWidth="1"/>
    <col min="11011" max="11011" width="76" style="9" customWidth="1"/>
    <col min="11012" max="11226" width="8.69921875" style="9"/>
    <col min="11227" max="11227" width="13.69921875" style="9" bestFit="1" customWidth="1"/>
    <col min="11228" max="11228" width="18.69921875" style="9" bestFit="1" customWidth="1"/>
    <col min="11229" max="11229" width="8.69921875" style="9"/>
    <col min="11230" max="11230" width="8" style="9" customWidth="1"/>
    <col min="11231" max="11231" width="25" style="9" bestFit="1" customWidth="1"/>
    <col min="11232" max="11232" width="47.5" style="9" bestFit="1" customWidth="1"/>
    <col min="11233" max="11233" width="23.09765625" style="9" customWidth="1"/>
    <col min="11234" max="11240" width="9" style="9" customWidth="1"/>
    <col min="11241" max="11264" width="8.69921875" style="9"/>
    <col min="11265" max="11266" width="14.3984375" style="9" customWidth="1"/>
    <col min="11267" max="11267" width="76" style="9" customWidth="1"/>
    <col min="11268" max="11482" width="8.69921875" style="9"/>
    <col min="11483" max="11483" width="13.69921875" style="9" bestFit="1" customWidth="1"/>
    <col min="11484" max="11484" width="18.69921875" style="9" bestFit="1" customWidth="1"/>
    <col min="11485" max="11485" width="8.69921875" style="9"/>
    <col min="11486" max="11486" width="8" style="9" customWidth="1"/>
    <col min="11487" max="11487" width="25" style="9" bestFit="1" customWidth="1"/>
    <col min="11488" max="11488" width="47.5" style="9" bestFit="1" customWidth="1"/>
    <col min="11489" max="11489" width="23.09765625" style="9" customWidth="1"/>
    <col min="11490" max="11496" width="9" style="9" customWidth="1"/>
    <col min="11497" max="11520" width="8.69921875" style="9"/>
    <col min="11521" max="11522" width="14.3984375" style="9" customWidth="1"/>
    <col min="11523" max="11523" width="76" style="9" customWidth="1"/>
    <col min="11524" max="11738" width="8.69921875" style="9"/>
    <col min="11739" max="11739" width="13.69921875" style="9" bestFit="1" customWidth="1"/>
    <col min="11740" max="11740" width="18.69921875" style="9" bestFit="1" customWidth="1"/>
    <col min="11741" max="11741" width="8.69921875" style="9"/>
    <col min="11742" max="11742" width="8" style="9" customWidth="1"/>
    <col min="11743" max="11743" width="25" style="9" bestFit="1" customWidth="1"/>
    <col min="11744" max="11744" width="47.5" style="9" bestFit="1" customWidth="1"/>
    <col min="11745" max="11745" width="23.09765625" style="9" customWidth="1"/>
    <col min="11746" max="11752" width="9" style="9" customWidth="1"/>
    <col min="11753" max="11776" width="8.69921875" style="9"/>
    <col min="11777" max="11778" width="14.3984375" style="9" customWidth="1"/>
    <col min="11779" max="11779" width="76" style="9" customWidth="1"/>
    <col min="11780" max="11994" width="8.69921875" style="9"/>
    <col min="11995" max="11995" width="13.69921875" style="9" bestFit="1" customWidth="1"/>
    <col min="11996" max="11996" width="18.69921875" style="9" bestFit="1" customWidth="1"/>
    <col min="11997" max="11997" width="8.69921875" style="9"/>
    <col min="11998" max="11998" width="8" style="9" customWidth="1"/>
    <col min="11999" max="11999" width="25" style="9" bestFit="1" customWidth="1"/>
    <col min="12000" max="12000" width="47.5" style="9" bestFit="1" customWidth="1"/>
    <col min="12001" max="12001" width="23.09765625" style="9" customWidth="1"/>
    <col min="12002" max="12008" width="9" style="9" customWidth="1"/>
    <col min="12009" max="12032" width="8.69921875" style="9"/>
    <col min="12033" max="12034" width="14.3984375" style="9" customWidth="1"/>
    <col min="12035" max="12035" width="76" style="9" customWidth="1"/>
    <col min="12036" max="12250" width="8.69921875" style="9"/>
    <col min="12251" max="12251" width="13.69921875" style="9" bestFit="1" customWidth="1"/>
    <col min="12252" max="12252" width="18.69921875" style="9" bestFit="1" customWidth="1"/>
    <col min="12253" max="12253" width="8.69921875" style="9"/>
    <col min="12254" max="12254" width="8" style="9" customWidth="1"/>
    <col min="12255" max="12255" width="25" style="9" bestFit="1" customWidth="1"/>
    <col min="12256" max="12256" width="47.5" style="9" bestFit="1" customWidth="1"/>
    <col min="12257" max="12257" width="23.09765625" style="9" customWidth="1"/>
    <col min="12258" max="12264" width="9" style="9" customWidth="1"/>
    <col min="12265" max="12288" width="8.69921875" style="9"/>
    <col min="12289" max="12290" width="14.3984375" style="9" customWidth="1"/>
    <col min="12291" max="12291" width="76" style="9" customWidth="1"/>
    <col min="12292" max="12506" width="8.69921875" style="9"/>
    <col min="12507" max="12507" width="13.69921875" style="9" bestFit="1" customWidth="1"/>
    <col min="12508" max="12508" width="18.69921875" style="9" bestFit="1" customWidth="1"/>
    <col min="12509" max="12509" width="8.69921875" style="9"/>
    <col min="12510" max="12510" width="8" style="9" customWidth="1"/>
    <col min="12511" max="12511" width="25" style="9" bestFit="1" customWidth="1"/>
    <col min="12512" max="12512" width="47.5" style="9" bestFit="1" customWidth="1"/>
    <col min="12513" max="12513" width="23.09765625" style="9" customWidth="1"/>
    <col min="12514" max="12520" width="9" style="9" customWidth="1"/>
    <col min="12521" max="12544" width="8.69921875" style="9"/>
    <col min="12545" max="12546" width="14.3984375" style="9" customWidth="1"/>
    <col min="12547" max="12547" width="76" style="9" customWidth="1"/>
    <col min="12548" max="12762" width="8.69921875" style="9"/>
    <col min="12763" max="12763" width="13.69921875" style="9" bestFit="1" customWidth="1"/>
    <col min="12764" max="12764" width="18.69921875" style="9" bestFit="1" customWidth="1"/>
    <col min="12765" max="12765" width="8.69921875" style="9"/>
    <col min="12766" max="12766" width="8" style="9" customWidth="1"/>
    <col min="12767" max="12767" width="25" style="9" bestFit="1" customWidth="1"/>
    <col min="12768" max="12768" width="47.5" style="9" bestFit="1" customWidth="1"/>
    <col min="12769" max="12769" width="23.09765625" style="9" customWidth="1"/>
    <col min="12770" max="12776" width="9" style="9" customWidth="1"/>
    <col min="12777" max="12800" width="8.69921875" style="9"/>
    <col min="12801" max="12802" width="14.3984375" style="9" customWidth="1"/>
    <col min="12803" max="12803" width="76" style="9" customWidth="1"/>
    <col min="12804" max="13018" width="8.69921875" style="9"/>
    <col min="13019" max="13019" width="13.69921875" style="9" bestFit="1" customWidth="1"/>
    <col min="13020" max="13020" width="18.69921875" style="9" bestFit="1" customWidth="1"/>
    <col min="13021" max="13021" width="8.69921875" style="9"/>
    <col min="13022" max="13022" width="8" style="9" customWidth="1"/>
    <col min="13023" max="13023" width="25" style="9" bestFit="1" customWidth="1"/>
    <col min="13024" max="13024" width="47.5" style="9" bestFit="1" customWidth="1"/>
    <col min="13025" max="13025" width="23.09765625" style="9" customWidth="1"/>
    <col min="13026" max="13032" width="9" style="9" customWidth="1"/>
    <col min="13033" max="13056" width="8.69921875" style="9"/>
    <col min="13057" max="13058" width="14.3984375" style="9" customWidth="1"/>
    <col min="13059" max="13059" width="76" style="9" customWidth="1"/>
    <col min="13060" max="13274" width="8.69921875" style="9"/>
    <col min="13275" max="13275" width="13.69921875" style="9" bestFit="1" customWidth="1"/>
    <col min="13276" max="13276" width="18.69921875" style="9" bestFit="1" customWidth="1"/>
    <col min="13277" max="13277" width="8.69921875" style="9"/>
    <col min="13278" max="13278" width="8" style="9" customWidth="1"/>
    <col min="13279" max="13279" width="25" style="9" bestFit="1" customWidth="1"/>
    <col min="13280" max="13280" width="47.5" style="9" bestFit="1" customWidth="1"/>
    <col min="13281" max="13281" width="23.09765625" style="9" customWidth="1"/>
    <col min="13282" max="13288" width="9" style="9" customWidth="1"/>
    <col min="13289" max="13312" width="8.69921875" style="9"/>
    <col min="13313" max="13314" width="14.3984375" style="9" customWidth="1"/>
    <col min="13315" max="13315" width="76" style="9" customWidth="1"/>
    <col min="13316" max="13530" width="8.69921875" style="9"/>
    <col min="13531" max="13531" width="13.69921875" style="9" bestFit="1" customWidth="1"/>
    <col min="13532" max="13532" width="18.69921875" style="9" bestFit="1" customWidth="1"/>
    <col min="13533" max="13533" width="8.69921875" style="9"/>
    <col min="13534" max="13534" width="8" style="9" customWidth="1"/>
    <col min="13535" max="13535" width="25" style="9" bestFit="1" customWidth="1"/>
    <col min="13536" max="13536" width="47.5" style="9" bestFit="1" customWidth="1"/>
    <col min="13537" max="13537" width="23.09765625" style="9" customWidth="1"/>
    <col min="13538" max="13544" width="9" style="9" customWidth="1"/>
    <col min="13545" max="13568" width="8.69921875" style="9"/>
    <col min="13569" max="13570" width="14.3984375" style="9" customWidth="1"/>
    <col min="13571" max="13571" width="76" style="9" customWidth="1"/>
    <col min="13572" max="13786" width="8.69921875" style="9"/>
    <col min="13787" max="13787" width="13.69921875" style="9" bestFit="1" customWidth="1"/>
    <col min="13788" max="13788" width="18.69921875" style="9" bestFit="1" customWidth="1"/>
    <col min="13789" max="13789" width="8.69921875" style="9"/>
    <col min="13790" max="13790" width="8" style="9" customWidth="1"/>
    <col min="13791" max="13791" width="25" style="9" bestFit="1" customWidth="1"/>
    <col min="13792" max="13792" width="47.5" style="9" bestFit="1" customWidth="1"/>
    <col min="13793" max="13793" width="23.09765625" style="9" customWidth="1"/>
    <col min="13794" max="13800" width="9" style="9" customWidth="1"/>
    <col min="13801" max="13824" width="8.69921875" style="9"/>
    <col min="13825" max="13826" width="14.3984375" style="9" customWidth="1"/>
    <col min="13827" max="13827" width="76" style="9" customWidth="1"/>
    <col min="13828" max="14042" width="8.69921875" style="9"/>
    <col min="14043" max="14043" width="13.69921875" style="9" bestFit="1" customWidth="1"/>
    <col min="14044" max="14044" width="18.69921875" style="9" bestFit="1" customWidth="1"/>
    <col min="14045" max="14045" width="8.69921875" style="9"/>
    <col min="14046" max="14046" width="8" style="9" customWidth="1"/>
    <col min="14047" max="14047" width="25" style="9" bestFit="1" customWidth="1"/>
    <col min="14048" max="14048" width="47.5" style="9" bestFit="1" customWidth="1"/>
    <col min="14049" max="14049" width="23.09765625" style="9" customWidth="1"/>
    <col min="14050" max="14056" width="9" style="9" customWidth="1"/>
    <col min="14057" max="14080" width="8.69921875" style="9"/>
    <col min="14081" max="14082" width="14.3984375" style="9" customWidth="1"/>
    <col min="14083" max="14083" width="76" style="9" customWidth="1"/>
    <col min="14084" max="14298" width="8.69921875" style="9"/>
    <col min="14299" max="14299" width="13.69921875" style="9" bestFit="1" customWidth="1"/>
    <col min="14300" max="14300" width="18.69921875" style="9" bestFit="1" customWidth="1"/>
    <col min="14301" max="14301" width="8.69921875" style="9"/>
    <col min="14302" max="14302" width="8" style="9" customWidth="1"/>
    <col min="14303" max="14303" width="25" style="9" bestFit="1" customWidth="1"/>
    <col min="14304" max="14304" width="47.5" style="9" bestFit="1" customWidth="1"/>
    <col min="14305" max="14305" width="23.09765625" style="9" customWidth="1"/>
    <col min="14306" max="14312" width="9" style="9" customWidth="1"/>
    <col min="14313" max="14336" width="8.69921875" style="9"/>
    <col min="14337" max="14338" width="14.3984375" style="9" customWidth="1"/>
    <col min="14339" max="14339" width="76" style="9" customWidth="1"/>
    <col min="14340" max="14554" width="8.69921875" style="9"/>
    <col min="14555" max="14555" width="13.69921875" style="9" bestFit="1" customWidth="1"/>
    <col min="14556" max="14556" width="18.69921875" style="9" bestFit="1" customWidth="1"/>
    <col min="14557" max="14557" width="8.69921875" style="9"/>
    <col min="14558" max="14558" width="8" style="9" customWidth="1"/>
    <col min="14559" max="14559" width="25" style="9" bestFit="1" customWidth="1"/>
    <col min="14560" max="14560" width="47.5" style="9" bestFit="1" customWidth="1"/>
    <col min="14561" max="14561" width="23.09765625" style="9" customWidth="1"/>
    <col min="14562" max="14568" width="9" style="9" customWidth="1"/>
    <col min="14569" max="14592" width="8.69921875" style="9"/>
    <col min="14593" max="14594" width="14.3984375" style="9" customWidth="1"/>
    <col min="14595" max="14595" width="76" style="9" customWidth="1"/>
    <col min="14596" max="14810" width="8.69921875" style="9"/>
    <col min="14811" max="14811" width="13.69921875" style="9" bestFit="1" customWidth="1"/>
    <col min="14812" max="14812" width="18.69921875" style="9" bestFit="1" customWidth="1"/>
    <col min="14813" max="14813" width="8.69921875" style="9"/>
    <col min="14814" max="14814" width="8" style="9" customWidth="1"/>
    <col min="14815" max="14815" width="25" style="9" bestFit="1" customWidth="1"/>
    <col min="14816" max="14816" width="47.5" style="9" bestFit="1" customWidth="1"/>
    <col min="14817" max="14817" width="23.09765625" style="9" customWidth="1"/>
    <col min="14818" max="14824" width="9" style="9" customWidth="1"/>
    <col min="14825" max="14848" width="8.69921875" style="9"/>
    <col min="14849" max="14850" width="14.3984375" style="9" customWidth="1"/>
    <col min="14851" max="14851" width="76" style="9" customWidth="1"/>
    <col min="14852" max="15066" width="8.69921875" style="9"/>
    <col min="15067" max="15067" width="13.69921875" style="9" bestFit="1" customWidth="1"/>
    <col min="15068" max="15068" width="18.69921875" style="9" bestFit="1" customWidth="1"/>
    <col min="15069" max="15069" width="8.69921875" style="9"/>
    <col min="15070" max="15070" width="8" style="9" customWidth="1"/>
    <col min="15071" max="15071" width="25" style="9" bestFit="1" customWidth="1"/>
    <col min="15072" max="15072" width="47.5" style="9" bestFit="1" customWidth="1"/>
    <col min="15073" max="15073" width="23.09765625" style="9" customWidth="1"/>
    <col min="15074" max="15080" width="9" style="9" customWidth="1"/>
    <col min="15081" max="15104" width="8.69921875" style="9"/>
    <col min="15105" max="15106" width="14.3984375" style="9" customWidth="1"/>
    <col min="15107" max="15107" width="76" style="9" customWidth="1"/>
    <col min="15108" max="15322" width="8.69921875" style="9"/>
    <col min="15323" max="15323" width="13.69921875" style="9" bestFit="1" customWidth="1"/>
    <col min="15324" max="15324" width="18.69921875" style="9" bestFit="1" customWidth="1"/>
    <col min="15325" max="15325" width="8.69921875" style="9"/>
    <col min="15326" max="15326" width="8" style="9" customWidth="1"/>
    <col min="15327" max="15327" width="25" style="9" bestFit="1" customWidth="1"/>
    <col min="15328" max="15328" width="47.5" style="9" bestFit="1" customWidth="1"/>
    <col min="15329" max="15329" width="23.09765625" style="9" customWidth="1"/>
    <col min="15330" max="15336" width="9" style="9" customWidth="1"/>
    <col min="15337" max="15360" width="8.69921875" style="9"/>
    <col min="15361" max="15362" width="14.3984375" style="9" customWidth="1"/>
    <col min="15363" max="15363" width="76" style="9" customWidth="1"/>
    <col min="15364" max="15578" width="8.69921875" style="9"/>
    <col min="15579" max="15579" width="13.69921875" style="9" bestFit="1" customWidth="1"/>
    <col min="15580" max="15580" width="18.69921875" style="9" bestFit="1" customWidth="1"/>
    <col min="15581" max="15581" width="8.69921875" style="9"/>
    <col min="15582" max="15582" width="8" style="9" customWidth="1"/>
    <col min="15583" max="15583" width="25" style="9" bestFit="1" customWidth="1"/>
    <col min="15584" max="15584" width="47.5" style="9" bestFit="1" customWidth="1"/>
    <col min="15585" max="15585" width="23.09765625" style="9" customWidth="1"/>
    <col min="15586" max="15592" width="9" style="9" customWidth="1"/>
    <col min="15593" max="15616" width="8.69921875" style="9"/>
    <col min="15617" max="15618" width="14.3984375" style="9" customWidth="1"/>
    <col min="15619" max="15619" width="76" style="9" customWidth="1"/>
    <col min="15620" max="15834" width="8.69921875" style="9"/>
    <col min="15835" max="15835" width="13.69921875" style="9" bestFit="1" customWidth="1"/>
    <col min="15836" max="15836" width="18.69921875" style="9" bestFit="1" customWidth="1"/>
    <col min="15837" max="15837" width="8.69921875" style="9"/>
    <col min="15838" max="15838" width="8" style="9" customWidth="1"/>
    <col min="15839" max="15839" width="25" style="9" bestFit="1" customWidth="1"/>
    <col min="15840" max="15840" width="47.5" style="9" bestFit="1" customWidth="1"/>
    <col min="15841" max="15841" width="23.09765625" style="9" customWidth="1"/>
    <col min="15842" max="15848" width="9" style="9" customWidth="1"/>
    <col min="15849" max="15872" width="8.69921875" style="9"/>
    <col min="15873" max="15874" width="14.3984375" style="9" customWidth="1"/>
    <col min="15875" max="15875" width="76" style="9" customWidth="1"/>
    <col min="15876" max="16090" width="8.69921875" style="9"/>
    <col min="16091" max="16091" width="13.69921875" style="9" bestFit="1" customWidth="1"/>
    <col min="16092" max="16092" width="18.69921875" style="9" bestFit="1" customWidth="1"/>
    <col min="16093" max="16093" width="8.69921875" style="9"/>
    <col min="16094" max="16094" width="8" style="9" customWidth="1"/>
    <col min="16095" max="16095" width="25" style="9" bestFit="1" customWidth="1"/>
    <col min="16096" max="16096" width="47.5" style="9" bestFit="1" customWidth="1"/>
    <col min="16097" max="16097" width="23.09765625" style="9" customWidth="1"/>
    <col min="16098" max="16104" width="9" style="9" customWidth="1"/>
    <col min="16105" max="16128" width="8.69921875" style="9"/>
    <col min="16129" max="16130" width="14.3984375" style="9" customWidth="1"/>
    <col min="16131" max="16131" width="76" style="9" customWidth="1"/>
    <col min="16132" max="16346" width="8.69921875" style="9"/>
    <col min="16347" max="16347" width="13.69921875" style="9" bestFit="1" customWidth="1"/>
    <col min="16348" max="16348" width="18.69921875" style="9" bestFit="1" customWidth="1"/>
    <col min="16349" max="16349" width="8.69921875" style="9"/>
    <col min="16350" max="16350" width="8" style="9" customWidth="1"/>
    <col min="16351" max="16351" width="25" style="9" bestFit="1" customWidth="1"/>
    <col min="16352" max="16352" width="47.5" style="9" bestFit="1" customWidth="1"/>
    <col min="16353" max="16353" width="23.09765625" style="9" customWidth="1"/>
    <col min="16354" max="16360" width="9" style="9" customWidth="1"/>
    <col min="16361" max="16384" width="8.69921875" style="9"/>
  </cols>
  <sheetData>
    <row r="1" spans="1:3" ht="17.25" customHeight="1" x14ac:dyDescent="0.4">
      <c r="A1" s="34" t="s">
        <v>94</v>
      </c>
      <c r="B1" s="7"/>
    </row>
    <row r="3" spans="1:3" ht="21" customHeight="1" x14ac:dyDescent="0.4">
      <c r="A3" s="61" t="s">
        <v>97</v>
      </c>
      <c r="B3" s="63" t="s">
        <v>98</v>
      </c>
      <c r="C3" s="64"/>
    </row>
    <row r="4" spans="1:3" ht="21" customHeight="1" x14ac:dyDescent="0.4">
      <c r="A4" s="62"/>
      <c r="B4" s="65"/>
      <c r="C4" s="66"/>
    </row>
    <row r="5" spans="1:3" ht="17.25" customHeight="1" x14ac:dyDescent="0.4">
      <c r="A5" s="12" t="s">
        <v>99</v>
      </c>
      <c r="B5" s="55" t="s">
        <v>100</v>
      </c>
      <c r="C5" s="56"/>
    </row>
    <row r="6" spans="1:3" ht="17.25" customHeight="1" x14ac:dyDescent="0.4">
      <c r="A6" s="59" t="s">
        <v>101</v>
      </c>
      <c r="B6" s="55" t="s">
        <v>102</v>
      </c>
      <c r="C6" s="56"/>
    </row>
    <row r="7" spans="1:3" ht="17.25" customHeight="1" x14ac:dyDescent="0.4">
      <c r="A7" s="60"/>
      <c r="B7" s="55" t="s">
        <v>103</v>
      </c>
      <c r="C7" s="56"/>
    </row>
    <row r="8" spans="1:3" ht="17.25" customHeight="1" x14ac:dyDescent="0.4">
      <c r="A8" s="13"/>
      <c r="B8" s="81" t="s">
        <v>203</v>
      </c>
      <c r="C8" s="15"/>
    </row>
    <row r="9" spans="1:3" ht="17.25" customHeight="1" x14ac:dyDescent="0.4">
      <c r="A9" s="13"/>
      <c r="B9" s="14"/>
      <c r="C9" s="15"/>
    </row>
    <row r="10" spans="1:3" ht="17.25" customHeight="1" x14ac:dyDescent="0.4">
      <c r="A10" s="13"/>
      <c r="B10" s="14"/>
      <c r="C10" s="15"/>
    </row>
    <row r="11" spans="1:3" ht="17.25" customHeight="1" x14ac:dyDescent="0.4">
      <c r="A11" s="13"/>
      <c r="B11" s="14"/>
      <c r="C11" s="15"/>
    </row>
    <row r="12" spans="1:3" ht="17.25" customHeight="1" x14ac:dyDescent="0.4">
      <c r="A12" s="13"/>
      <c r="B12" s="14"/>
      <c r="C12" s="15"/>
    </row>
    <row r="13" spans="1:3" ht="17.25" customHeight="1" x14ac:dyDescent="0.4">
      <c r="A13" s="13"/>
      <c r="B13" s="14"/>
      <c r="C13" s="15"/>
    </row>
    <row r="14" spans="1:3" ht="17.25" customHeight="1" x14ac:dyDescent="0.4">
      <c r="A14" s="13"/>
      <c r="B14" s="14"/>
      <c r="C14" s="15"/>
    </row>
    <row r="15" spans="1:3" ht="17.25" customHeight="1" x14ac:dyDescent="0.4">
      <c r="A15" s="13"/>
      <c r="B15" s="14"/>
      <c r="C15" s="15"/>
    </row>
    <row r="16" spans="1:3" ht="17.25" customHeight="1" x14ac:dyDescent="0.4">
      <c r="A16" s="13"/>
      <c r="B16" s="14"/>
      <c r="C16" s="15"/>
    </row>
    <row r="17" spans="1:3" ht="17.25" customHeight="1" x14ac:dyDescent="0.4">
      <c r="A17" s="13"/>
      <c r="B17" s="14"/>
      <c r="C17" s="15"/>
    </row>
    <row r="18" spans="1:3" ht="17.25" customHeight="1" x14ac:dyDescent="0.4">
      <c r="A18" s="13"/>
      <c r="B18" s="14"/>
      <c r="C18" s="15"/>
    </row>
    <row r="19" spans="1:3" ht="17.25" customHeight="1" x14ac:dyDescent="0.4">
      <c r="A19" s="13"/>
      <c r="B19" s="14"/>
      <c r="C19" s="15"/>
    </row>
    <row r="20" spans="1:3" ht="17.25" customHeight="1" x14ac:dyDescent="0.4">
      <c r="A20" s="13"/>
      <c r="B20" s="14"/>
      <c r="C20" s="15"/>
    </row>
    <row r="21" spans="1:3" ht="17.25" customHeight="1" x14ac:dyDescent="0.4">
      <c r="A21" s="13"/>
      <c r="B21" s="14"/>
      <c r="C21" s="15"/>
    </row>
    <row r="22" spans="1:3" ht="17.25" customHeight="1" x14ac:dyDescent="0.4">
      <c r="A22" s="13"/>
      <c r="B22" s="14"/>
      <c r="C22" s="15"/>
    </row>
    <row r="23" spans="1:3" ht="17.25" customHeight="1" x14ac:dyDescent="0.4">
      <c r="A23" s="13"/>
      <c r="B23" s="14"/>
      <c r="C23" s="15"/>
    </row>
    <row r="24" spans="1:3" ht="17.25" customHeight="1" x14ac:dyDescent="0.4">
      <c r="A24" s="13"/>
      <c r="B24" s="14"/>
      <c r="C24" s="15"/>
    </row>
    <row r="25" spans="1:3" ht="17.25" customHeight="1" x14ac:dyDescent="0.4">
      <c r="A25" s="13"/>
      <c r="B25" s="14"/>
      <c r="C25" s="15"/>
    </row>
    <row r="26" spans="1:3" ht="17.25" customHeight="1" x14ac:dyDescent="0.4">
      <c r="A26" s="13"/>
      <c r="B26" s="14"/>
      <c r="C26" s="15"/>
    </row>
    <row r="27" spans="1:3" ht="17.25" customHeight="1" x14ac:dyDescent="0.4">
      <c r="A27" s="13"/>
      <c r="B27" s="14"/>
      <c r="C27" s="15"/>
    </row>
    <row r="28" spans="1:3" ht="17.25" customHeight="1" x14ac:dyDescent="0.4">
      <c r="A28" s="13"/>
      <c r="B28" s="14"/>
      <c r="C28" s="15"/>
    </row>
    <row r="29" spans="1:3" ht="17.25" customHeight="1" x14ac:dyDescent="0.4">
      <c r="A29" s="13"/>
      <c r="B29" s="14"/>
      <c r="C29" s="15"/>
    </row>
    <row r="30" spans="1:3" ht="17.25" customHeight="1" x14ac:dyDescent="0.4">
      <c r="A30" s="13"/>
      <c r="B30" s="14"/>
      <c r="C30" s="15"/>
    </row>
    <row r="31" spans="1:3" ht="17.25" customHeight="1" x14ac:dyDescent="0.4">
      <c r="A31" s="13"/>
      <c r="B31" s="14"/>
      <c r="C31" s="15"/>
    </row>
    <row r="32" spans="1:3" ht="17.25" customHeight="1" x14ac:dyDescent="0.4">
      <c r="A32" s="13"/>
      <c r="B32" s="14"/>
      <c r="C32" s="15"/>
    </row>
    <row r="33" spans="1:3" ht="17.25" customHeight="1" x14ac:dyDescent="0.4">
      <c r="A33" s="13"/>
      <c r="B33" s="14"/>
      <c r="C33" s="15"/>
    </row>
    <row r="34" spans="1:3" ht="17.25" customHeight="1" x14ac:dyDescent="0.4">
      <c r="A34" s="13"/>
      <c r="B34" s="14"/>
      <c r="C34" s="15"/>
    </row>
    <row r="35" spans="1:3" ht="17.25" customHeight="1" x14ac:dyDescent="0.4">
      <c r="A35" s="13"/>
      <c r="B35" s="14"/>
      <c r="C35" s="15"/>
    </row>
    <row r="36" spans="1:3" ht="17.25" customHeight="1" x14ac:dyDescent="0.4">
      <c r="A36" s="13"/>
      <c r="B36" s="14"/>
      <c r="C36" s="15"/>
    </row>
    <row r="37" spans="1:3" ht="17.25" customHeight="1" x14ac:dyDescent="0.4">
      <c r="A37" s="13"/>
      <c r="B37" s="14"/>
      <c r="C37" s="15"/>
    </row>
    <row r="38" spans="1:3" ht="17.25" customHeight="1" x14ac:dyDescent="0.4">
      <c r="A38" s="13"/>
      <c r="B38" s="14"/>
      <c r="C38" s="15"/>
    </row>
    <row r="39" spans="1:3" ht="17.25" customHeight="1" x14ac:dyDescent="0.4">
      <c r="A39" s="13"/>
      <c r="B39" s="14"/>
      <c r="C39" s="15"/>
    </row>
    <row r="40" spans="1:3" ht="17.25" customHeight="1" x14ac:dyDescent="0.4">
      <c r="A40" s="13"/>
      <c r="B40" s="14"/>
      <c r="C40" s="15"/>
    </row>
    <row r="41" spans="1:3" ht="17.25" customHeight="1" x14ac:dyDescent="0.4">
      <c r="A41" s="13"/>
      <c r="B41" s="14"/>
      <c r="C41" s="15"/>
    </row>
    <row r="42" spans="1:3" ht="17.25" customHeight="1" x14ac:dyDescent="0.4">
      <c r="A42" s="13"/>
      <c r="B42" s="14"/>
      <c r="C42" s="15"/>
    </row>
    <row r="43" spans="1:3" ht="17.25" customHeight="1" x14ac:dyDescent="0.4">
      <c r="A43" s="13"/>
      <c r="B43" s="14"/>
      <c r="C43" s="15"/>
    </row>
    <row r="44" spans="1:3" ht="17.25" customHeight="1" x14ac:dyDescent="0.4">
      <c r="A44" s="13"/>
      <c r="B44" s="14"/>
      <c r="C44" s="15"/>
    </row>
    <row r="45" spans="1:3" ht="17.25" customHeight="1" x14ac:dyDescent="0.4">
      <c r="A45" s="13"/>
      <c r="B45" s="14"/>
      <c r="C45" s="15"/>
    </row>
    <row r="46" spans="1:3" ht="17.25" customHeight="1" x14ac:dyDescent="0.4">
      <c r="A46" s="13"/>
      <c r="B46" s="14"/>
      <c r="C46" s="15"/>
    </row>
    <row r="47" spans="1:3" ht="17.25" customHeight="1" x14ac:dyDescent="0.4">
      <c r="A47" s="13"/>
      <c r="B47" s="14"/>
      <c r="C47" s="15"/>
    </row>
    <row r="48" spans="1:3" ht="17.25" customHeight="1" x14ac:dyDescent="0.4">
      <c r="A48" s="13"/>
      <c r="B48" s="14"/>
      <c r="C48" s="15"/>
    </row>
    <row r="49" spans="1:3" ht="17.25" customHeight="1" x14ac:dyDescent="0.4">
      <c r="A49" s="13"/>
      <c r="B49" s="14"/>
      <c r="C49" s="15"/>
    </row>
    <row r="50" spans="1:3" ht="17.25" customHeight="1" x14ac:dyDescent="0.4">
      <c r="A50" s="13"/>
      <c r="B50" s="14"/>
      <c r="C50" s="15"/>
    </row>
    <row r="51" spans="1:3" ht="17.25" customHeight="1" x14ac:dyDescent="0.4">
      <c r="A51" s="13"/>
      <c r="B51" s="14"/>
      <c r="C51" s="15"/>
    </row>
    <row r="52" spans="1:3" ht="17.25" customHeight="1" x14ac:dyDescent="0.4">
      <c r="A52" s="13"/>
      <c r="B52" s="14"/>
      <c r="C52" s="15"/>
    </row>
    <row r="53" spans="1:3" ht="17.25" customHeight="1" x14ac:dyDescent="0.4">
      <c r="A53" s="13"/>
      <c r="B53" s="14"/>
      <c r="C53" s="15"/>
    </row>
    <row r="54" spans="1:3" ht="17.25" customHeight="1" x14ac:dyDescent="0.4">
      <c r="A54" s="13"/>
      <c r="B54" s="14"/>
      <c r="C54" s="15"/>
    </row>
    <row r="55" spans="1:3" ht="17.25" customHeight="1" x14ac:dyDescent="0.4">
      <c r="A55" s="13"/>
      <c r="B55" s="14"/>
      <c r="C55" s="15"/>
    </row>
    <row r="56" spans="1:3" ht="17.25" customHeight="1" x14ac:dyDescent="0.4">
      <c r="A56" s="13"/>
      <c r="B56" s="14"/>
      <c r="C56" s="15"/>
    </row>
    <row r="57" spans="1:3" ht="17.25" customHeight="1" x14ac:dyDescent="0.4">
      <c r="A57" s="11"/>
      <c r="B57" s="55"/>
      <c r="C57" s="56"/>
    </row>
    <row r="58" spans="1:3" ht="17.25" customHeight="1" x14ac:dyDescent="0.4">
      <c r="A58" s="11"/>
      <c r="B58" s="57"/>
      <c r="C58" s="58"/>
    </row>
  </sheetData>
  <mergeCells count="8">
    <mergeCell ref="B57:C57"/>
    <mergeCell ref="B58:C58"/>
    <mergeCell ref="A6:A7"/>
    <mergeCell ref="A3:A4"/>
    <mergeCell ref="B3:C4"/>
    <mergeCell ref="B5:C5"/>
    <mergeCell ref="B6:C6"/>
    <mergeCell ref="B7:C7"/>
  </mergeCells>
  <phoneticPr fontId="4" type="noConversion"/>
  <pageMargins left="0.7" right="0.7" top="0.75" bottom="0.75" header="0.3" footer="0.3"/>
  <pageSetup paperSize="9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F0F7-6164-4647-A420-B18B49225637}">
  <sheetPr>
    <tabColor rgb="FFFFC000"/>
    <pageSetUpPr fitToPage="1"/>
  </sheetPr>
  <dimension ref="A1:M49"/>
  <sheetViews>
    <sheetView showGridLines="0" view="pageBreakPreview" zoomScaleNormal="100" zoomScaleSheetLayoutView="100" workbookViewId="0">
      <selection activeCell="C23" sqref="C23"/>
    </sheetView>
  </sheetViews>
  <sheetFormatPr defaultColWidth="9" defaultRowHeight="17.399999999999999" x14ac:dyDescent="0.4"/>
  <cols>
    <col min="1" max="1" width="15.3984375" style="17" customWidth="1"/>
    <col min="2" max="7" width="16.8984375" style="17" customWidth="1"/>
    <col min="8" max="8" width="9" style="17"/>
    <col min="9" max="9" width="13" style="17" hidden="1" customWidth="1"/>
    <col min="10" max="11" width="16.59765625" style="17" hidden="1" customWidth="1"/>
    <col min="12" max="12" width="8.8984375" style="17" hidden="1" customWidth="1"/>
    <col min="13" max="13" width="0" style="17" hidden="1" customWidth="1"/>
    <col min="14" max="16384" width="9" style="17"/>
  </cols>
  <sheetData>
    <row r="1" spans="1:13" ht="21" x14ac:dyDescent="0.4">
      <c r="A1" s="16" t="s">
        <v>104</v>
      </c>
    </row>
    <row r="3" spans="1:13" x14ac:dyDescent="0.4">
      <c r="A3" s="18" t="s">
        <v>105</v>
      </c>
    </row>
    <row r="4" spans="1:13" x14ac:dyDescent="0.4">
      <c r="A4" s="38" t="s">
        <v>106</v>
      </c>
      <c r="B4" s="39" t="s">
        <v>107</v>
      </c>
      <c r="C4" s="39" t="s">
        <v>108</v>
      </c>
      <c r="D4" s="39" t="s">
        <v>109</v>
      </c>
      <c r="E4" s="39" t="s">
        <v>110</v>
      </c>
    </row>
    <row r="5" spans="1:13" x14ac:dyDescent="0.4">
      <c r="A5" s="37" t="s">
        <v>111</v>
      </c>
      <c r="B5" s="37" t="s">
        <v>112</v>
      </c>
      <c r="C5" s="37" t="s">
        <v>113</v>
      </c>
      <c r="D5" s="37" t="s">
        <v>114</v>
      </c>
      <c r="E5" s="37" t="s">
        <v>115</v>
      </c>
    </row>
    <row r="6" spans="1:13" x14ac:dyDescent="0.4">
      <c r="A6" s="18"/>
    </row>
    <row r="7" spans="1:13" x14ac:dyDescent="0.4">
      <c r="A7" s="18" t="s">
        <v>116</v>
      </c>
    </row>
    <row r="9" spans="1:13" x14ac:dyDescent="0.4">
      <c r="A9" s="18" t="s">
        <v>117</v>
      </c>
    </row>
    <row r="10" spans="1:13" x14ac:dyDescent="0.4">
      <c r="A10" s="38" t="s">
        <v>118</v>
      </c>
      <c r="B10" s="39" t="s">
        <v>109</v>
      </c>
      <c r="C10" s="39" t="s">
        <v>110</v>
      </c>
      <c r="D10" s="68" t="s">
        <v>119</v>
      </c>
      <c r="E10" s="69"/>
      <c r="M10" s="20"/>
    </row>
    <row r="11" spans="1:13" x14ac:dyDescent="0.4">
      <c r="A11" s="36" t="s">
        <v>120</v>
      </c>
      <c r="B11" s="37" t="s">
        <v>114</v>
      </c>
      <c r="C11" s="37" t="s">
        <v>115</v>
      </c>
      <c r="D11" s="70"/>
      <c r="E11" s="71"/>
      <c r="M11" s="20"/>
    </row>
    <row r="12" spans="1:13" x14ac:dyDescent="0.4">
      <c r="A12" s="37" t="s">
        <v>121</v>
      </c>
      <c r="B12" s="75">
        <v>0.15</v>
      </c>
      <c r="C12" s="76"/>
      <c r="D12" s="72" t="s">
        <v>122</v>
      </c>
      <c r="E12" s="71"/>
      <c r="M12" s="20"/>
    </row>
    <row r="13" spans="1:13" x14ac:dyDescent="0.4">
      <c r="A13" s="36" t="s">
        <v>123</v>
      </c>
      <c r="B13" s="37" t="s">
        <v>124</v>
      </c>
      <c r="C13" s="37" t="s">
        <v>125</v>
      </c>
      <c r="D13" s="70"/>
      <c r="E13" s="71"/>
      <c r="M13" s="20"/>
    </row>
    <row r="14" spans="1:13" x14ac:dyDescent="0.4">
      <c r="M14" s="20"/>
    </row>
    <row r="15" spans="1:13" x14ac:dyDescent="0.4">
      <c r="A15" s="83" t="s">
        <v>206</v>
      </c>
    </row>
    <row r="19" spans="1:12" x14ac:dyDescent="0.4">
      <c r="A19" s="73"/>
      <c r="B19" s="73"/>
      <c r="C19" s="74"/>
      <c r="D19" s="74"/>
      <c r="E19" s="74"/>
      <c r="F19" s="74"/>
      <c r="G19" s="35"/>
    </row>
    <row r="20" spans="1:12" x14ac:dyDescent="0.4">
      <c r="A20" s="19"/>
    </row>
    <row r="21" spans="1:12" x14ac:dyDescent="0.4">
      <c r="A21" s="18"/>
    </row>
    <row r="22" spans="1:12" x14ac:dyDescent="0.4">
      <c r="I22" s="21" t="s">
        <v>126</v>
      </c>
      <c r="J22" s="21"/>
      <c r="K22" s="21"/>
      <c r="L22" s="22" t="s">
        <v>127</v>
      </c>
    </row>
    <row r="23" spans="1:12" x14ac:dyDescent="0.4">
      <c r="A23" s="42"/>
      <c r="B23" s="42"/>
      <c r="C23" s="42"/>
      <c r="I23" s="23" t="s">
        <v>128</v>
      </c>
      <c r="J23" s="23" t="s">
        <v>129</v>
      </c>
      <c r="K23" s="24" t="s">
        <v>130</v>
      </c>
      <c r="L23" s="23" t="s">
        <v>131</v>
      </c>
    </row>
    <row r="24" spans="1:12" x14ac:dyDescent="0.4">
      <c r="B24" s="40"/>
      <c r="C24" s="41"/>
      <c r="I24" s="25" t="s">
        <v>132</v>
      </c>
      <c r="J24" s="26">
        <v>335262185377</v>
      </c>
      <c r="K24" s="27">
        <v>0.32133955530686775</v>
      </c>
      <c r="L24" s="28"/>
    </row>
    <row r="25" spans="1:12" x14ac:dyDescent="0.4">
      <c r="B25" s="40"/>
      <c r="C25" s="41"/>
      <c r="I25" s="25" t="s">
        <v>133</v>
      </c>
      <c r="J25" s="26">
        <v>355149124029</v>
      </c>
      <c r="K25" s="27">
        <v>0.34040063735422899</v>
      </c>
      <c r="L25" s="26"/>
    </row>
    <row r="26" spans="1:12" x14ac:dyDescent="0.4">
      <c r="A26" s="19"/>
      <c r="B26" s="40"/>
      <c r="C26" s="41"/>
      <c r="I26" s="25" t="s">
        <v>134</v>
      </c>
      <c r="J26" s="26">
        <v>206628905285</v>
      </c>
      <c r="K26" s="27">
        <v>0.19804810513647</v>
      </c>
      <c r="L26" s="26"/>
    </row>
    <row r="27" spans="1:12" x14ac:dyDescent="0.4">
      <c r="A27" s="19"/>
      <c r="B27" s="40"/>
      <c r="C27" s="41"/>
      <c r="I27" s="25" t="s">
        <v>135</v>
      </c>
      <c r="J27" s="26">
        <v>107853107236</v>
      </c>
      <c r="K27" s="29">
        <v>0.10337422778148414</v>
      </c>
      <c r="L27" s="26"/>
    </row>
    <row r="28" spans="1:12" ht="18" thickBot="1" x14ac:dyDescent="0.45">
      <c r="A28" s="19"/>
      <c r="B28" s="40"/>
      <c r="C28" s="41"/>
      <c r="I28" s="25" t="s">
        <v>136</v>
      </c>
      <c r="J28" s="26">
        <v>38433526076</v>
      </c>
      <c r="K28" s="27">
        <v>3.6837474420949139E-2</v>
      </c>
      <c r="L28" s="30"/>
    </row>
    <row r="29" spans="1:12" ht="18" thickTop="1" x14ac:dyDescent="0.4">
      <c r="A29" s="19"/>
      <c r="B29" s="40"/>
      <c r="C29" s="41"/>
      <c r="I29" s="31" t="s">
        <v>137</v>
      </c>
      <c r="J29" s="32">
        <v>1043326848003</v>
      </c>
      <c r="K29" s="33">
        <v>1</v>
      </c>
      <c r="L29" s="33"/>
    </row>
    <row r="30" spans="1:12" x14ac:dyDescent="0.4">
      <c r="A30" s="18"/>
    </row>
    <row r="32" spans="1:12" x14ac:dyDescent="0.4">
      <c r="A32" s="42"/>
      <c r="B32" s="42"/>
      <c r="C32" s="42"/>
      <c r="D32" s="42"/>
      <c r="E32" s="42"/>
      <c r="F32" s="42"/>
    </row>
    <row r="33" spans="1:7" x14ac:dyDescent="0.4">
      <c r="A33" s="43"/>
      <c r="B33" s="44"/>
      <c r="C33" s="44"/>
      <c r="D33" s="44"/>
      <c r="E33" s="44"/>
      <c r="F33" s="44"/>
    </row>
    <row r="34" spans="1:7" x14ac:dyDescent="0.4">
      <c r="A34" s="43"/>
      <c r="B34" s="44"/>
      <c r="C34" s="44"/>
      <c r="D34" s="44"/>
      <c r="E34" s="44"/>
      <c r="F34" s="44"/>
    </row>
    <row r="35" spans="1:7" x14ac:dyDescent="0.4">
      <c r="A35" s="43"/>
      <c r="B35" s="44"/>
      <c r="C35" s="44"/>
      <c r="D35" s="44"/>
      <c r="E35" s="44"/>
      <c r="F35" s="44"/>
    </row>
    <row r="36" spans="1:7" x14ac:dyDescent="0.4">
      <c r="A36" s="43"/>
      <c r="B36" s="44"/>
      <c r="C36" s="44"/>
      <c r="D36" s="44"/>
      <c r="E36" s="44"/>
      <c r="F36" s="44"/>
    </row>
    <row r="37" spans="1:7" x14ac:dyDescent="0.4">
      <c r="A37" s="43"/>
      <c r="B37" s="44"/>
      <c r="C37" s="44"/>
      <c r="D37" s="44"/>
      <c r="E37" s="44"/>
      <c r="F37" s="44"/>
    </row>
    <row r="38" spans="1:7" x14ac:dyDescent="0.4">
      <c r="A38" s="43"/>
      <c r="B38" s="44"/>
      <c r="C38" s="44"/>
      <c r="D38" s="44"/>
      <c r="E38" s="44"/>
      <c r="F38" s="44"/>
    </row>
    <row r="41" spans="1:7" x14ac:dyDescent="0.4">
      <c r="A41" s="18"/>
    </row>
    <row r="42" spans="1:7" x14ac:dyDescent="0.4">
      <c r="A42" s="67"/>
      <c r="B42" s="67"/>
      <c r="C42" s="45"/>
      <c r="D42" s="45"/>
      <c r="E42" s="45"/>
      <c r="F42" s="45"/>
      <c r="G42" s="45"/>
    </row>
    <row r="43" spans="1:7" x14ac:dyDescent="0.4">
      <c r="A43" s="67"/>
      <c r="B43" s="67"/>
      <c r="C43" s="46"/>
      <c r="D43" s="46"/>
      <c r="E43" s="40"/>
      <c r="F43" s="40"/>
      <c r="G43" s="40"/>
    </row>
    <row r="44" spans="1:7" x14ac:dyDescent="0.4">
      <c r="A44" s="67"/>
      <c r="B44" s="67"/>
      <c r="C44" s="46"/>
      <c r="D44" s="46"/>
      <c r="E44" s="40"/>
      <c r="F44" s="40"/>
      <c r="G44" s="40"/>
    </row>
    <row r="45" spans="1:7" x14ac:dyDescent="0.4">
      <c r="A45" s="67"/>
      <c r="B45" s="67"/>
      <c r="C45" s="46"/>
      <c r="D45" s="46"/>
      <c r="E45" s="46"/>
      <c r="F45" s="46"/>
      <c r="G45" s="40"/>
    </row>
    <row r="46" spans="1:7" x14ac:dyDescent="0.4">
      <c r="A46" s="67"/>
      <c r="B46" s="67"/>
      <c r="C46" s="46"/>
      <c r="D46" s="46"/>
      <c r="E46" s="46"/>
      <c r="F46" s="46"/>
      <c r="G46" s="40"/>
    </row>
    <row r="47" spans="1:7" x14ac:dyDescent="0.4">
      <c r="A47" s="67"/>
      <c r="B47" s="67"/>
      <c r="C47" s="46"/>
      <c r="D47" s="46"/>
      <c r="E47" s="46"/>
      <c r="F47" s="46"/>
      <c r="G47" s="40"/>
    </row>
    <row r="48" spans="1:7" x14ac:dyDescent="0.4">
      <c r="A48" s="67"/>
      <c r="B48" s="67"/>
      <c r="C48" s="46"/>
      <c r="D48" s="46"/>
      <c r="E48" s="46"/>
      <c r="F48" s="46"/>
      <c r="G48" s="40"/>
    </row>
    <row r="49" spans="1:7" x14ac:dyDescent="0.4">
      <c r="A49" s="67"/>
      <c r="B49" s="67"/>
      <c r="C49" s="46"/>
      <c r="D49" s="46"/>
      <c r="E49" s="40"/>
      <c r="F49" s="40"/>
      <c r="G49" s="40"/>
    </row>
  </sheetData>
  <mergeCells count="15">
    <mergeCell ref="D10:E10"/>
    <mergeCell ref="D11:E11"/>
    <mergeCell ref="D12:E12"/>
    <mergeCell ref="D13:E13"/>
    <mergeCell ref="A19:B19"/>
    <mergeCell ref="C19:F19"/>
    <mergeCell ref="B12:C12"/>
    <mergeCell ref="A48:B48"/>
    <mergeCell ref="A49:B49"/>
    <mergeCell ref="A42:B42"/>
    <mergeCell ref="A43:B43"/>
    <mergeCell ref="A44:B44"/>
    <mergeCell ref="A45:B45"/>
    <mergeCell ref="A46:B46"/>
    <mergeCell ref="A47:B47"/>
  </mergeCells>
  <phoneticPr fontId="4" type="noConversion"/>
  <pageMargins left="0.7" right="0.7" top="0.75" bottom="0.75" header="0.3" footer="0.3"/>
  <pageSetup paperSize="9" scale="6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41B0-BAFA-41D7-9E93-84246F6C1EFC}">
  <sheetPr>
    <tabColor theme="7" tint="0.79998168889431442"/>
    <pageSetUpPr fitToPage="1"/>
  </sheetPr>
  <dimension ref="A1:G95"/>
  <sheetViews>
    <sheetView showGridLines="0" view="pageBreakPreview" topLeftCell="A49" zoomScaleNormal="100" zoomScaleSheetLayoutView="100" workbookViewId="0">
      <selection activeCell="F87" sqref="F87"/>
    </sheetView>
  </sheetViews>
  <sheetFormatPr defaultColWidth="9" defaultRowHeight="13.2" x14ac:dyDescent="0.4"/>
  <cols>
    <col min="1" max="1" width="4.5" style="1" customWidth="1"/>
    <col min="2" max="2" width="8.09765625" style="1" customWidth="1"/>
    <col min="3" max="3" width="29.59765625" style="1" customWidth="1"/>
    <col min="4" max="4" width="4.19921875" style="1" customWidth="1"/>
    <col min="5" max="5" width="8.09765625" style="1" customWidth="1"/>
    <col min="6" max="6" width="30.8984375" style="1" customWidth="1"/>
    <col min="7" max="7" width="4.5" style="1" customWidth="1"/>
    <col min="8" max="256" width="9" style="1"/>
    <col min="257" max="257" width="4.5" style="1" customWidth="1"/>
    <col min="258" max="258" width="8.09765625" style="1" customWidth="1"/>
    <col min="259" max="259" width="29.59765625" style="1" customWidth="1"/>
    <col min="260" max="260" width="4.19921875" style="1" customWidth="1"/>
    <col min="261" max="261" width="8.09765625" style="1" customWidth="1"/>
    <col min="262" max="262" width="30.8984375" style="1" customWidth="1"/>
    <col min="263" max="263" width="4.5" style="1" customWidth="1"/>
    <col min="264" max="512" width="9" style="1"/>
    <col min="513" max="513" width="4.5" style="1" customWidth="1"/>
    <col min="514" max="514" width="8.09765625" style="1" customWidth="1"/>
    <col min="515" max="515" width="29.59765625" style="1" customWidth="1"/>
    <col min="516" max="516" width="4.19921875" style="1" customWidth="1"/>
    <col min="517" max="517" width="8.09765625" style="1" customWidth="1"/>
    <col min="518" max="518" width="30.8984375" style="1" customWidth="1"/>
    <col min="519" max="519" width="4.5" style="1" customWidth="1"/>
    <col min="520" max="768" width="9" style="1"/>
    <col min="769" max="769" width="4.5" style="1" customWidth="1"/>
    <col min="770" max="770" width="8.09765625" style="1" customWidth="1"/>
    <col min="771" max="771" width="29.59765625" style="1" customWidth="1"/>
    <col min="772" max="772" width="4.19921875" style="1" customWidth="1"/>
    <col min="773" max="773" width="8.09765625" style="1" customWidth="1"/>
    <col min="774" max="774" width="30.8984375" style="1" customWidth="1"/>
    <col min="775" max="775" width="4.5" style="1" customWidth="1"/>
    <col min="776" max="1024" width="9" style="1"/>
    <col min="1025" max="1025" width="4.5" style="1" customWidth="1"/>
    <col min="1026" max="1026" width="8.09765625" style="1" customWidth="1"/>
    <col min="1027" max="1027" width="29.59765625" style="1" customWidth="1"/>
    <col min="1028" max="1028" width="4.19921875" style="1" customWidth="1"/>
    <col min="1029" max="1029" width="8.09765625" style="1" customWidth="1"/>
    <col min="1030" max="1030" width="30.8984375" style="1" customWidth="1"/>
    <col min="1031" max="1031" width="4.5" style="1" customWidth="1"/>
    <col min="1032" max="1280" width="9" style="1"/>
    <col min="1281" max="1281" width="4.5" style="1" customWidth="1"/>
    <col min="1282" max="1282" width="8.09765625" style="1" customWidth="1"/>
    <col min="1283" max="1283" width="29.59765625" style="1" customWidth="1"/>
    <col min="1284" max="1284" width="4.19921875" style="1" customWidth="1"/>
    <col min="1285" max="1285" width="8.09765625" style="1" customWidth="1"/>
    <col min="1286" max="1286" width="30.8984375" style="1" customWidth="1"/>
    <col min="1287" max="1287" width="4.5" style="1" customWidth="1"/>
    <col min="1288" max="1536" width="9" style="1"/>
    <col min="1537" max="1537" width="4.5" style="1" customWidth="1"/>
    <col min="1538" max="1538" width="8.09765625" style="1" customWidth="1"/>
    <col min="1539" max="1539" width="29.59765625" style="1" customWidth="1"/>
    <col min="1540" max="1540" width="4.19921875" style="1" customWidth="1"/>
    <col min="1541" max="1541" width="8.09765625" style="1" customWidth="1"/>
    <col min="1542" max="1542" width="30.8984375" style="1" customWidth="1"/>
    <col min="1543" max="1543" width="4.5" style="1" customWidth="1"/>
    <col min="1544" max="1792" width="9" style="1"/>
    <col min="1793" max="1793" width="4.5" style="1" customWidth="1"/>
    <col min="1794" max="1794" width="8.09765625" style="1" customWidth="1"/>
    <col min="1795" max="1795" width="29.59765625" style="1" customWidth="1"/>
    <col min="1796" max="1796" width="4.19921875" style="1" customWidth="1"/>
    <col min="1797" max="1797" width="8.09765625" style="1" customWidth="1"/>
    <col min="1798" max="1798" width="30.8984375" style="1" customWidth="1"/>
    <col min="1799" max="1799" width="4.5" style="1" customWidth="1"/>
    <col min="1800" max="2048" width="9" style="1"/>
    <col min="2049" max="2049" width="4.5" style="1" customWidth="1"/>
    <col min="2050" max="2050" width="8.09765625" style="1" customWidth="1"/>
    <col min="2051" max="2051" width="29.59765625" style="1" customWidth="1"/>
    <col min="2052" max="2052" width="4.19921875" style="1" customWidth="1"/>
    <col min="2053" max="2053" width="8.09765625" style="1" customWidth="1"/>
    <col min="2054" max="2054" width="30.8984375" style="1" customWidth="1"/>
    <col min="2055" max="2055" width="4.5" style="1" customWidth="1"/>
    <col min="2056" max="2304" width="9" style="1"/>
    <col min="2305" max="2305" width="4.5" style="1" customWidth="1"/>
    <col min="2306" max="2306" width="8.09765625" style="1" customWidth="1"/>
    <col min="2307" max="2307" width="29.59765625" style="1" customWidth="1"/>
    <col min="2308" max="2308" width="4.19921875" style="1" customWidth="1"/>
    <col min="2309" max="2309" width="8.09765625" style="1" customWidth="1"/>
    <col min="2310" max="2310" width="30.8984375" style="1" customWidth="1"/>
    <col min="2311" max="2311" width="4.5" style="1" customWidth="1"/>
    <col min="2312" max="2560" width="9" style="1"/>
    <col min="2561" max="2561" width="4.5" style="1" customWidth="1"/>
    <col min="2562" max="2562" width="8.09765625" style="1" customWidth="1"/>
    <col min="2563" max="2563" width="29.59765625" style="1" customWidth="1"/>
    <col min="2564" max="2564" width="4.19921875" style="1" customWidth="1"/>
    <col min="2565" max="2565" width="8.09765625" style="1" customWidth="1"/>
    <col min="2566" max="2566" width="30.8984375" style="1" customWidth="1"/>
    <col min="2567" max="2567" width="4.5" style="1" customWidth="1"/>
    <col min="2568" max="2816" width="9" style="1"/>
    <col min="2817" max="2817" width="4.5" style="1" customWidth="1"/>
    <col min="2818" max="2818" width="8.09765625" style="1" customWidth="1"/>
    <col min="2819" max="2819" width="29.59765625" style="1" customWidth="1"/>
    <col min="2820" max="2820" width="4.19921875" style="1" customWidth="1"/>
    <col min="2821" max="2821" width="8.09765625" style="1" customWidth="1"/>
    <col min="2822" max="2822" width="30.8984375" style="1" customWidth="1"/>
    <col min="2823" max="2823" width="4.5" style="1" customWidth="1"/>
    <col min="2824" max="3072" width="9" style="1"/>
    <col min="3073" max="3073" width="4.5" style="1" customWidth="1"/>
    <col min="3074" max="3074" width="8.09765625" style="1" customWidth="1"/>
    <col min="3075" max="3075" width="29.59765625" style="1" customWidth="1"/>
    <col min="3076" max="3076" width="4.19921875" style="1" customWidth="1"/>
    <col min="3077" max="3077" width="8.09765625" style="1" customWidth="1"/>
    <col min="3078" max="3078" width="30.8984375" style="1" customWidth="1"/>
    <col min="3079" max="3079" width="4.5" style="1" customWidth="1"/>
    <col min="3080" max="3328" width="9" style="1"/>
    <col min="3329" max="3329" width="4.5" style="1" customWidth="1"/>
    <col min="3330" max="3330" width="8.09765625" style="1" customWidth="1"/>
    <col min="3331" max="3331" width="29.59765625" style="1" customWidth="1"/>
    <col min="3332" max="3332" width="4.19921875" style="1" customWidth="1"/>
    <col min="3333" max="3333" width="8.09765625" style="1" customWidth="1"/>
    <col min="3334" max="3334" width="30.8984375" style="1" customWidth="1"/>
    <col min="3335" max="3335" width="4.5" style="1" customWidth="1"/>
    <col min="3336" max="3584" width="9" style="1"/>
    <col min="3585" max="3585" width="4.5" style="1" customWidth="1"/>
    <col min="3586" max="3586" width="8.09765625" style="1" customWidth="1"/>
    <col min="3587" max="3587" width="29.59765625" style="1" customWidth="1"/>
    <col min="3588" max="3588" width="4.19921875" style="1" customWidth="1"/>
    <col min="3589" max="3589" width="8.09765625" style="1" customWidth="1"/>
    <col min="3590" max="3590" width="30.8984375" style="1" customWidth="1"/>
    <col min="3591" max="3591" width="4.5" style="1" customWidth="1"/>
    <col min="3592" max="3840" width="9" style="1"/>
    <col min="3841" max="3841" width="4.5" style="1" customWidth="1"/>
    <col min="3842" max="3842" width="8.09765625" style="1" customWidth="1"/>
    <col min="3843" max="3843" width="29.59765625" style="1" customWidth="1"/>
    <col min="3844" max="3844" width="4.19921875" style="1" customWidth="1"/>
    <col min="3845" max="3845" width="8.09765625" style="1" customWidth="1"/>
    <col min="3846" max="3846" width="30.8984375" style="1" customWidth="1"/>
    <col min="3847" max="3847" width="4.5" style="1" customWidth="1"/>
    <col min="3848" max="4096" width="9" style="1"/>
    <col min="4097" max="4097" width="4.5" style="1" customWidth="1"/>
    <col min="4098" max="4098" width="8.09765625" style="1" customWidth="1"/>
    <col min="4099" max="4099" width="29.59765625" style="1" customWidth="1"/>
    <col min="4100" max="4100" width="4.19921875" style="1" customWidth="1"/>
    <col min="4101" max="4101" width="8.09765625" style="1" customWidth="1"/>
    <col min="4102" max="4102" width="30.8984375" style="1" customWidth="1"/>
    <col min="4103" max="4103" width="4.5" style="1" customWidth="1"/>
    <col min="4104" max="4352" width="9" style="1"/>
    <col min="4353" max="4353" width="4.5" style="1" customWidth="1"/>
    <col min="4354" max="4354" width="8.09765625" style="1" customWidth="1"/>
    <col min="4355" max="4355" width="29.59765625" style="1" customWidth="1"/>
    <col min="4356" max="4356" width="4.19921875" style="1" customWidth="1"/>
    <col min="4357" max="4357" width="8.09765625" style="1" customWidth="1"/>
    <col min="4358" max="4358" width="30.8984375" style="1" customWidth="1"/>
    <col min="4359" max="4359" width="4.5" style="1" customWidth="1"/>
    <col min="4360" max="4608" width="9" style="1"/>
    <col min="4609" max="4609" width="4.5" style="1" customWidth="1"/>
    <col min="4610" max="4610" width="8.09765625" style="1" customWidth="1"/>
    <col min="4611" max="4611" width="29.59765625" style="1" customWidth="1"/>
    <col min="4612" max="4612" width="4.19921875" style="1" customWidth="1"/>
    <col min="4613" max="4613" width="8.09765625" style="1" customWidth="1"/>
    <col min="4614" max="4614" width="30.8984375" style="1" customWidth="1"/>
    <col min="4615" max="4615" width="4.5" style="1" customWidth="1"/>
    <col min="4616" max="4864" width="9" style="1"/>
    <col min="4865" max="4865" width="4.5" style="1" customWidth="1"/>
    <col min="4866" max="4866" width="8.09765625" style="1" customWidth="1"/>
    <col min="4867" max="4867" width="29.59765625" style="1" customWidth="1"/>
    <col min="4868" max="4868" width="4.19921875" style="1" customWidth="1"/>
    <col min="4869" max="4869" width="8.09765625" style="1" customWidth="1"/>
    <col min="4870" max="4870" width="30.8984375" style="1" customWidth="1"/>
    <col min="4871" max="4871" width="4.5" style="1" customWidth="1"/>
    <col min="4872" max="5120" width="9" style="1"/>
    <col min="5121" max="5121" width="4.5" style="1" customWidth="1"/>
    <col min="5122" max="5122" width="8.09765625" style="1" customWidth="1"/>
    <col min="5123" max="5123" width="29.59765625" style="1" customWidth="1"/>
    <col min="5124" max="5124" width="4.19921875" style="1" customWidth="1"/>
    <col min="5125" max="5125" width="8.09765625" style="1" customWidth="1"/>
    <col min="5126" max="5126" width="30.8984375" style="1" customWidth="1"/>
    <col min="5127" max="5127" width="4.5" style="1" customWidth="1"/>
    <col min="5128" max="5376" width="9" style="1"/>
    <col min="5377" max="5377" width="4.5" style="1" customWidth="1"/>
    <col min="5378" max="5378" width="8.09765625" style="1" customWidth="1"/>
    <col min="5379" max="5379" width="29.59765625" style="1" customWidth="1"/>
    <col min="5380" max="5380" width="4.19921875" style="1" customWidth="1"/>
    <col min="5381" max="5381" width="8.09765625" style="1" customWidth="1"/>
    <col min="5382" max="5382" width="30.8984375" style="1" customWidth="1"/>
    <col min="5383" max="5383" width="4.5" style="1" customWidth="1"/>
    <col min="5384" max="5632" width="9" style="1"/>
    <col min="5633" max="5633" width="4.5" style="1" customWidth="1"/>
    <col min="5634" max="5634" width="8.09765625" style="1" customWidth="1"/>
    <col min="5635" max="5635" width="29.59765625" style="1" customWidth="1"/>
    <col min="5636" max="5636" width="4.19921875" style="1" customWidth="1"/>
    <col min="5637" max="5637" width="8.09765625" style="1" customWidth="1"/>
    <col min="5638" max="5638" width="30.8984375" style="1" customWidth="1"/>
    <col min="5639" max="5639" width="4.5" style="1" customWidth="1"/>
    <col min="5640" max="5888" width="9" style="1"/>
    <col min="5889" max="5889" width="4.5" style="1" customWidth="1"/>
    <col min="5890" max="5890" width="8.09765625" style="1" customWidth="1"/>
    <col min="5891" max="5891" width="29.59765625" style="1" customWidth="1"/>
    <col min="5892" max="5892" width="4.19921875" style="1" customWidth="1"/>
    <col min="5893" max="5893" width="8.09765625" style="1" customWidth="1"/>
    <col min="5894" max="5894" width="30.8984375" style="1" customWidth="1"/>
    <col min="5895" max="5895" width="4.5" style="1" customWidth="1"/>
    <col min="5896" max="6144" width="9" style="1"/>
    <col min="6145" max="6145" width="4.5" style="1" customWidth="1"/>
    <col min="6146" max="6146" width="8.09765625" style="1" customWidth="1"/>
    <col min="6147" max="6147" width="29.59765625" style="1" customWidth="1"/>
    <col min="6148" max="6148" width="4.19921875" style="1" customWidth="1"/>
    <col min="6149" max="6149" width="8.09765625" style="1" customWidth="1"/>
    <col min="6150" max="6150" width="30.8984375" style="1" customWidth="1"/>
    <col min="6151" max="6151" width="4.5" style="1" customWidth="1"/>
    <col min="6152" max="6400" width="9" style="1"/>
    <col min="6401" max="6401" width="4.5" style="1" customWidth="1"/>
    <col min="6402" max="6402" width="8.09765625" style="1" customWidth="1"/>
    <col min="6403" max="6403" width="29.59765625" style="1" customWidth="1"/>
    <col min="6404" max="6404" width="4.19921875" style="1" customWidth="1"/>
    <col min="6405" max="6405" width="8.09765625" style="1" customWidth="1"/>
    <col min="6406" max="6406" width="30.8984375" style="1" customWidth="1"/>
    <col min="6407" max="6407" width="4.5" style="1" customWidth="1"/>
    <col min="6408" max="6656" width="9" style="1"/>
    <col min="6657" max="6657" width="4.5" style="1" customWidth="1"/>
    <col min="6658" max="6658" width="8.09765625" style="1" customWidth="1"/>
    <col min="6659" max="6659" width="29.59765625" style="1" customWidth="1"/>
    <col min="6660" max="6660" width="4.19921875" style="1" customWidth="1"/>
    <col min="6661" max="6661" width="8.09765625" style="1" customWidth="1"/>
    <col min="6662" max="6662" width="30.8984375" style="1" customWidth="1"/>
    <col min="6663" max="6663" width="4.5" style="1" customWidth="1"/>
    <col min="6664" max="6912" width="9" style="1"/>
    <col min="6913" max="6913" width="4.5" style="1" customWidth="1"/>
    <col min="6914" max="6914" width="8.09765625" style="1" customWidth="1"/>
    <col min="6915" max="6915" width="29.59765625" style="1" customWidth="1"/>
    <col min="6916" max="6916" width="4.19921875" style="1" customWidth="1"/>
    <col min="6917" max="6917" width="8.09765625" style="1" customWidth="1"/>
    <col min="6918" max="6918" width="30.8984375" style="1" customWidth="1"/>
    <col min="6919" max="6919" width="4.5" style="1" customWidth="1"/>
    <col min="6920" max="7168" width="9" style="1"/>
    <col min="7169" max="7169" width="4.5" style="1" customWidth="1"/>
    <col min="7170" max="7170" width="8.09765625" style="1" customWidth="1"/>
    <col min="7171" max="7171" width="29.59765625" style="1" customWidth="1"/>
    <col min="7172" max="7172" width="4.19921875" style="1" customWidth="1"/>
    <col min="7173" max="7173" width="8.09765625" style="1" customWidth="1"/>
    <col min="7174" max="7174" width="30.8984375" style="1" customWidth="1"/>
    <col min="7175" max="7175" width="4.5" style="1" customWidth="1"/>
    <col min="7176" max="7424" width="9" style="1"/>
    <col min="7425" max="7425" width="4.5" style="1" customWidth="1"/>
    <col min="7426" max="7426" width="8.09765625" style="1" customWidth="1"/>
    <col min="7427" max="7427" width="29.59765625" style="1" customWidth="1"/>
    <col min="7428" max="7428" width="4.19921875" style="1" customWidth="1"/>
    <col min="7429" max="7429" width="8.09765625" style="1" customWidth="1"/>
    <col min="7430" max="7430" width="30.8984375" style="1" customWidth="1"/>
    <col min="7431" max="7431" width="4.5" style="1" customWidth="1"/>
    <col min="7432" max="7680" width="9" style="1"/>
    <col min="7681" max="7681" width="4.5" style="1" customWidth="1"/>
    <col min="7682" max="7682" width="8.09765625" style="1" customWidth="1"/>
    <col min="7683" max="7683" width="29.59765625" style="1" customWidth="1"/>
    <col min="7684" max="7684" width="4.19921875" style="1" customWidth="1"/>
    <col min="7685" max="7685" width="8.09765625" style="1" customWidth="1"/>
    <col min="7686" max="7686" width="30.8984375" style="1" customWidth="1"/>
    <col min="7687" max="7687" width="4.5" style="1" customWidth="1"/>
    <col min="7688" max="7936" width="9" style="1"/>
    <col min="7937" max="7937" width="4.5" style="1" customWidth="1"/>
    <col min="7938" max="7938" width="8.09765625" style="1" customWidth="1"/>
    <col min="7939" max="7939" width="29.59765625" style="1" customWidth="1"/>
    <col min="7940" max="7940" width="4.19921875" style="1" customWidth="1"/>
    <col min="7941" max="7941" width="8.09765625" style="1" customWidth="1"/>
    <col min="7942" max="7942" width="30.8984375" style="1" customWidth="1"/>
    <col min="7943" max="7943" width="4.5" style="1" customWidth="1"/>
    <col min="7944" max="8192" width="9" style="1"/>
    <col min="8193" max="8193" width="4.5" style="1" customWidth="1"/>
    <col min="8194" max="8194" width="8.09765625" style="1" customWidth="1"/>
    <col min="8195" max="8195" width="29.59765625" style="1" customWidth="1"/>
    <col min="8196" max="8196" width="4.19921875" style="1" customWidth="1"/>
    <col min="8197" max="8197" width="8.09765625" style="1" customWidth="1"/>
    <col min="8198" max="8198" width="30.8984375" style="1" customWidth="1"/>
    <col min="8199" max="8199" width="4.5" style="1" customWidth="1"/>
    <col min="8200" max="8448" width="9" style="1"/>
    <col min="8449" max="8449" width="4.5" style="1" customWidth="1"/>
    <col min="8450" max="8450" width="8.09765625" style="1" customWidth="1"/>
    <col min="8451" max="8451" width="29.59765625" style="1" customWidth="1"/>
    <col min="8452" max="8452" width="4.19921875" style="1" customWidth="1"/>
    <col min="8453" max="8453" width="8.09765625" style="1" customWidth="1"/>
    <col min="8454" max="8454" width="30.8984375" style="1" customWidth="1"/>
    <col min="8455" max="8455" width="4.5" style="1" customWidth="1"/>
    <col min="8456" max="8704" width="9" style="1"/>
    <col min="8705" max="8705" width="4.5" style="1" customWidth="1"/>
    <col min="8706" max="8706" width="8.09765625" style="1" customWidth="1"/>
    <col min="8707" max="8707" width="29.59765625" style="1" customWidth="1"/>
    <col min="8708" max="8708" width="4.19921875" style="1" customWidth="1"/>
    <col min="8709" max="8709" width="8.09765625" style="1" customWidth="1"/>
    <col min="8710" max="8710" width="30.8984375" style="1" customWidth="1"/>
    <col min="8711" max="8711" width="4.5" style="1" customWidth="1"/>
    <col min="8712" max="8960" width="9" style="1"/>
    <col min="8961" max="8961" width="4.5" style="1" customWidth="1"/>
    <col min="8962" max="8962" width="8.09765625" style="1" customWidth="1"/>
    <col min="8963" max="8963" width="29.59765625" style="1" customWidth="1"/>
    <col min="8964" max="8964" width="4.19921875" style="1" customWidth="1"/>
    <col min="8965" max="8965" width="8.09765625" style="1" customWidth="1"/>
    <col min="8966" max="8966" width="30.8984375" style="1" customWidth="1"/>
    <col min="8967" max="8967" width="4.5" style="1" customWidth="1"/>
    <col min="8968" max="9216" width="9" style="1"/>
    <col min="9217" max="9217" width="4.5" style="1" customWidth="1"/>
    <col min="9218" max="9218" width="8.09765625" style="1" customWidth="1"/>
    <col min="9219" max="9219" width="29.59765625" style="1" customWidth="1"/>
    <col min="9220" max="9220" width="4.19921875" style="1" customWidth="1"/>
    <col min="9221" max="9221" width="8.09765625" style="1" customWidth="1"/>
    <col min="9222" max="9222" width="30.8984375" style="1" customWidth="1"/>
    <col min="9223" max="9223" width="4.5" style="1" customWidth="1"/>
    <col min="9224" max="9472" width="9" style="1"/>
    <col min="9473" max="9473" width="4.5" style="1" customWidth="1"/>
    <col min="9474" max="9474" width="8.09765625" style="1" customWidth="1"/>
    <col min="9475" max="9475" width="29.59765625" style="1" customWidth="1"/>
    <col min="9476" max="9476" width="4.19921875" style="1" customWidth="1"/>
    <col min="9477" max="9477" width="8.09765625" style="1" customWidth="1"/>
    <col min="9478" max="9478" width="30.8984375" style="1" customWidth="1"/>
    <col min="9479" max="9479" width="4.5" style="1" customWidth="1"/>
    <col min="9480" max="9728" width="9" style="1"/>
    <col min="9729" max="9729" width="4.5" style="1" customWidth="1"/>
    <col min="9730" max="9730" width="8.09765625" style="1" customWidth="1"/>
    <col min="9731" max="9731" width="29.59765625" style="1" customWidth="1"/>
    <col min="9732" max="9732" width="4.19921875" style="1" customWidth="1"/>
    <col min="9733" max="9733" width="8.09765625" style="1" customWidth="1"/>
    <col min="9734" max="9734" width="30.8984375" style="1" customWidth="1"/>
    <col min="9735" max="9735" width="4.5" style="1" customWidth="1"/>
    <col min="9736" max="9984" width="9" style="1"/>
    <col min="9985" max="9985" width="4.5" style="1" customWidth="1"/>
    <col min="9986" max="9986" width="8.09765625" style="1" customWidth="1"/>
    <col min="9987" max="9987" width="29.59765625" style="1" customWidth="1"/>
    <col min="9988" max="9988" width="4.19921875" style="1" customWidth="1"/>
    <col min="9989" max="9989" width="8.09765625" style="1" customWidth="1"/>
    <col min="9990" max="9990" width="30.8984375" style="1" customWidth="1"/>
    <col min="9991" max="9991" width="4.5" style="1" customWidth="1"/>
    <col min="9992" max="10240" width="9" style="1"/>
    <col min="10241" max="10241" width="4.5" style="1" customWidth="1"/>
    <col min="10242" max="10242" width="8.09765625" style="1" customWidth="1"/>
    <col min="10243" max="10243" width="29.59765625" style="1" customWidth="1"/>
    <col min="10244" max="10244" width="4.19921875" style="1" customWidth="1"/>
    <col min="10245" max="10245" width="8.09765625" style="1" customWidth="1"/>
    <col min="10246" max="10246" width="30.8984375" style="1" customWidth="1"/>
    <col min="10247" max="10247" width="4.5" style="1" customWidth="1"/>
    <col min="10248" max="10496" width="9" style="1"/>
    <col min="10497" max="10497" width="4.5" style="1" customWidth="1"/>
    <col min="10498" max="10498" width="8.09765625" style="1" customWidth="1"/>
    <col min="10499" max="10499" width="29.59765625" style="1" customWidth="1"/>
    <col min="10500" max="10500" width="4.19921875" style="1" customWidth="1"/>
    <col min="10501" max="10501" width="8.09765625" style="1" customWidth="1"/>
    <col min="10502" max="10502" width="30.8984375" style="1" customWidth="1"/>
    <col min="10503" max="10503" width="4.5" style="1" customWidth="1"/>
    <col min="10504" max="10752" width="9" style="1"/>
    <col min="10753" max="10753" width="4.5" style="1" customWidth="1"/>
    <col min="10754" max="10754" width="8.09765625" style="1" customWidth="1"/>
    <col min="10755" max="10755" width="29.59765625" style="1" customWidth="1"/>
    <col min="10756" max="10756" width="4.19921875" style="1" customWidth="1"/>
    <col min="10757" max="10757" width="8.09765625" style="1" customWidth="1"/>
    <col min="10758" max="10758" width="30.8984375" style="1" customWidth="1"/>
    <col min="10759" max="10759" width="4.5" style="1" customWidth="1"/>
    <col min="10760" max="11008" width="9" style="1"/>
    <col min="11009" max="11009" width="4.5" style="1" customWidth="1"/>
    <col min="11010" max="11010" width="8.09765625" style="1" customWidth="1"/>
    <col min="11011" max="11011" width="29.59765625" style="1" customWidth="1"/>
    <col min="11012" max="11012" width="4.19921875" style="1" customWidth="1"/>
    <col min="11013" max="11013" width="8.09765625" style="1" customWidth="1"/>
    <col min="11014" max="11014" width="30.8984375" style="1" customWidth="1"/>
    <col min="11015" max="11015" width="4.5" style="1" customWidth="1"/>
    <col min="11016" max="11264" width="9" style="1"/>
    <col min="11265" max="11265" width="4.5" style="1" customWidth="1"/>
    <col min="11266" max="11266" width="8.09765625" style="1" customWidth="1"/>
    <col min="11267" max="11267" width="29.59765625" style="1" customWidth="1"/>
    <col min="11268" max="11268" width="4.19921875" style="1" customWidth="1"/>
    <col min="11269" max="11269" width="8.09765625" style="1" customWidth="1"/>
    <col min="11270" max="11270" width="30.8984375" style="1" customWidth="1"/>
    <col min="11271" max="11271" width="4.5" style="1" customWidth="1"/>
    <col min="11272" max="11520" width="9" style="1"/>
    <col min="11521" max="11521" width="4.5" style="1" customWidth="1"/>
    <col min="11522" max="11522" width="8.09765625" style="1" customWidth="1"/>
    <col min="11523" max="11523" width="29.59765625" style="1" customWidth="1"/>
    <col min="11524" max="11524" width="4.19921875" style="1" customWidth="1"/>
    <col min="11525" max="11525" width="8.09765625" style="1" customWidth="1"/>
    <col min="11526" max="11526" width="30.8984375" style="1" customWidth="1"/>
    <col min="11527" max="11527" width="4.5" style="1" customWidth="1"/>
    <col min="11528" max="11776" width="9" style="1"/>
    <col min="11777" max="11777" width="4.5" style="1" customWidth="1"/>
    <col min="11778" max="11778" width="8.09765625" style="1" customWidth="1"/>
    <col min="11779" max="11779" width="29.59765625" style="1" customWidth="1"/>
    <col min="11780" max="11780" width="4.19921875" style="1" customWidth="1"/>
    <col min="11781" max="11781" width="8.09765625" style="1" customWidth="1"/>
    <col min="11782" max="11782" width="30.8984375" style="1" customWidth="1"/>
    <col min="11783" max="11783" width="4.5" style="1" customWidth="1"/>
    <col min="11784" max="12032" width="9" style="1"/>
    <col min="12033" max="12033" width="4.5" style="1" customWidth="1"/>
    <col min="12034" max="12034" width="8.09765625" style="1" customWidth="1"/>
    <col min="12035" max="12035" width="29.59765625" style="1" customWidth="1"/>
    <col min="12036" max="12036" width="4.19921875" style="1" customWidth="1"/>
    <col min="12037" max="12037" width="8.09765625" style="1" customWidth="1"/>
    <col min="12038" max="12038" width="30.8984375" style="1" customWidth="1"/>
    <col min="12039" max="12039" width="4.5" style="1" customWidth="1"/>
    <col min="12040" max="12288" width="9" style="1"/>
    <col min="12289" max="12289" width="4.5" style="1" customWidth="1"/>
    <col min="12290" max="12290" width="8.09765625" style="1" customWidth="1"/>
    <col min="12291" max="12291" width="29.59765625" style="1" customWidth="1"/>
    <col min="12292" max="12292" width="4.19921875" style="1" customWidth="1"/>
    <col min="12293" max="12293" width="8.09765625" style="1" customWidth="1"/>
    <col min="12294" max="12294" width="30.8984375" style="1" customWidth="1"/>
    <col min="12295" max="12295" width="4.5" style="1" customWidth="1"/>
    <col min="12296" max="12544" width="9" style="1"/>
    <col min="12545" max="12545" width="4.5" style="1" customWidth="1"/>
    <col min="12546" max="12546" width="8.09765625" style="1" customWidth="1"/>
    <col min="12547" max="12547" width="29.59765625" style="1" customWidth="1"/>
    <col min="12548" max="12548" width="4.19921875" style="1" customWidth="1"/>
    <col min="12549" max="12549" width="8.09765625" style="1" customWidth="1"/>
    <col min="12550" max="12550" width="30.8984375" style="1" customWidth="1"/>
    <col min="12551" max="12551" width="4.5" style="1" customWidth="1"/>
    <col min="12552" max="12800" width="9" style="1"/>
    <col min="12801" max="12801" width="4.5" style="1" customWidth="1"/>
    <col min="12802" max="12802" width="8.09765625" style="1" customWidth="1"/>
    <col min="12803" max="12803" width="29.59765625" style="1" customWidth="1"/>
    <col min="12804" max="12804" width="4.19921875" style="1" customWidth="1"/>
    <col min="12805" max="12805" width="8.09765625" style="1" customWidth="1"/>
    <col min="12806" max="12806" width="30.8984375" style="1" customWidth="1"/>
    <col min="12807" max="12807" width="4.5" style="1" customWidth="1"/>
    <col min="12808" max="13056" width="9" style="1"/>
    <col min="13057" max="13057" width="4.5" style="1" customWidth="1"/>
    <col min="13058" max="13058" width="8.09765625" style="1" customWidth="1"/>
    <col min="13059" max="13059" width="29.59765625" style="1" customWidth="1"/>
    <col min="13060" max="13060" width="4.19921875" style="1" customWidth="1"/>
    <col min="13061" max="13061" width="8.09765625" style="1" customWidth="1"/>
    <col min="13062" max="13062" width="30.8984375" style="1" customWidth="1"/>
    <col min="13063" max="13063" width="4.5" style="1" customWidth="1"/>
    <col min="13064" max="13312" width="9" style="1"/>
    <col min="13313" max="13313" width="4.5" style="1" customWidth="1"/>
    <col min="13314" max="13314" width="8.09765625" style="1" customWidth="1"/>
    <col min="13315" max="13315" width="29.59765625" style="1" customWidth="1"/>
    <col min="13316" max="13316" width="4.19921875" style="1" customWidth="1"/>
    <col min="13317" max="13317" width="8.09765625" style="1" customWidth="1"/>
    <col min="13318" max="13318" width="30.8984375" style="1" customWidth="1"/>
    <col min="13319" max="13319" width="4.5" style="1" customWidth="1"/>
    <col min="13320" max="13568" width="9" style="1"/>
    <col min="13569" max="13569" width="4.5" style="1" customWidth="1"/>
    <col min="13570" max="13570" width="8.09765625" style="1" customWidth="1"/>
    <col min="13571" max="13571" width="29.59765625" style="1" customWidth="1"/>
    <col min="13572" max="13572" width="4.19921875" style="1" customWidth="1"/>
    <col min="13573" max="13573" width="8.09765625" style="1" customWidth="1"/>
    <col min="13574" max="13574" width="30.8984375" style="1" customWidth="1"/>
    <col min="13575" max="13575" width="4.5" style="1" customWidth="1"/>
    <col min="13576" max="13824" width="9" style="1"/>
    <col min="13825" max="13825" width="4.5" style="1" customWidth="1"/>
    <col min="13826" max="13826" width="8.09765625" style="1" customWidth="1"/>
    <col min="13827" max="13827" width="29.59765625" style="1" customWidth="1"/>
    <col min="13828" max="13828" width="4.19921875" style="1" customWidth="1"/>
    <col min="13829" max="13829" width="8.09765625" style="1" customWidth="1"/>
    <col min="13830" max="13830" width="30.8984375" style="1" customWidth="1"/>
    <col min="13831" max="13831" width="4.5" style="1" customWidth="1"/>
    <col min="13832" max="14080" width="9" style="1"/>
    <col min="14081" max="14081" width="4.5" style="1" customWidth="1"/>
    <col min="14082" max="14082" width="8.09765625" style="1" customWidth="1"/>
    <col min="14083" max="14083" width="29.59765625" style="1" customWidth="1"/>
    <col min="14084" max="14084" width="4.19921875" style="1" customWidth="1"/>
    <col min="14085" max="14085" width="8.09765625" style="1" customWidth="1"/>
    <col min="14086" max="14086" width="30.8984375" style="1" customWidth="1"/>
    <col min="14087" max="14087" width="4.5" style="1" customWidth="1"/>
    <col min="14088" max="14336" width="9" style="1"/>
    <col min="14337" max="14337" width="4.5" style="1" customWidth="1"/>
    <col min="14338" max="14338" width="8.09765625" style="1" customWidth="1"/>
    <col min="14339" max="14339" width="29.59765625" style="1" customWidth="1"/>
    <col min="14340" max="14340" width="4.19921875" style="1" customWidth="1"/>
    <col min="14341" max="14341" width="8.09765625" style="1" customWidth="1"/>
    <col min="14342" max="14342" width="30.8984375" style="1" customWidth="1"/>
    <col min="14343" max="14343" width="4.5" style="1" customWidth="1"/>
    <col min="14344" max="14592" width="9" style="1"/>
    <col min="14593" max="14593" width="4.5" style="1" customWidth="1"/>
    <col min="14594" max="14594" width="8.09765625" style="1" customWidth="1"/>
    <col min="14595" max="14595" width="29.59765625" style="1" customWidth="1"/>
    <col min="14596" max="14596" width="4.19921875" style="1" customWidth="1"/>
    <col min="14597" max="14597" width="8.09765625" style="1" customWidth="1"/>
    <col min="14598" max="14598" width="30.8984375" style="1" customWidth="1"/>
    <col min="14599" max="14599" width="4.5" style="1" customWidth="1"/>
    <col min="14600" max="14848" width="9" style="1"/>
    <col min="14849" max="14849" width="4.5" style="1" customWidth="1"/>
    <col min="14850" max="14850" width="8.09765625" style="1" customWidth="1"/>
    <col min="14851" max="14851" width="29.59765625" style="1" customWidth="1"/>
    <col min="14852" max="14852" width="4.19921875" style="1" customWidth="1"/>
    <col min="14853" max="14853" width="8.09765625" style="1" customWidth="1"/>
    <col min="14854" max="14854" width="30.8984375" style="1" customWidth="1"/>
    <col min="14855" max="14855" width="4.5" style="1" customWidth="1"/>
    <col min="14856" max="15104" width="9" style="1"/>
    <col min="15105" max="15105" width="4.5" style="1" customWidth="1"/>
    <col min="15106" max="15106" width="8.09765625" style="1" customWidth="1"/>
    <col min="15107" max="15107" width="29.59765625" style="1" customWidth="1"/>
    <col min="15108" max="15108" width="4.19921875" style="1" customWidth="1"/>
    <col min="15109" max="15109" width="8.09765625" style="1" customWidth="1"/>
    <col min="15110" max="15110" width="30.8984375" style="1" customWidth="1"/>
    <col min="15111" max="15111" width="4.5" style="1" customWidth="1"/>
    <col min="15112" max="15360" width="9" style="1"/>
    <col min="15361" max="15361" width="4.5" style="1" customWidth="1"/>
    <col min="15362" max="15362" width="8.09765625" style="1" customWidth="1"/>
    <col min="15363" max="15363" width="29.59765625" style="1" customWidth="1"/>
    <col min="15364" max="15364" width="4.19921875" style="1" customWidth="1"/>
    <col min="15365" max="15365" width="8.09765625" style="1" customWidth="1"/>
    <col min="15366" max="15366" width="30.8984375" style="1" customWidth="1"/>
    <col min="15367" max="15367" width="4.5" style="1" customWidth="1"/>
    <col min="15368" max="15616" width="9" style="1"/>
    <col min="15617" max="15617" width="4.5" style="1" customWidth="1"/>
    <col min="15618" max="15618" width="8.09765625" style="1" customWidth="1"/>
    <col min="15619" max="15619" width="29.59765625" style="1" customWidth="1"/>
    <col min="15620" max="15620" width="4.19921875" style="1" customWidth="1"/>
    <col min="15621" max="15621" width="8.09765625" style="1" customWidth="1"/>
    <col min="15622" max="15622" width="30.8984375" style="1" customWidth="1"/>
    <col min="15623" max="15623" width="4.5" style="1" customWidth="1"/>
    <col min="15624" max="15872" width="9" style="1"/>
    <col min="15873" max="15873" width="4.5" style="1" customWidth="1"/>
    <col min="15874" max="15874" width="8.09765625" style="1" customWidth="1"/>
    <col min="15875" max="15875" width="29.59765625" style="1" customWidth="1"/>
    <col min="15876" max="15876" width="4.19921875" style="1" customWidth="1"/>
    <col min="15877" max="15877" width="8.09765625" style="1" customWidth="1"/>
    <col min="15878" max="15878" width="30.8984375" style="1" customWidth="1"/>
    <col min="15879" max="15879" width="4.5" style="1" customWidth="1"/>
    <col min="15880" max="16128" width="9" style="1"/>
    <col min="16129" max="16129" width="4.5" style="1" customWidth="1"/>
    <col min="16130" max="16130" width="8.09765625" style="1" customWidth="1"/>
    <col min="16131" max="16131" width="29.59765625" style="1" customWidth="1"/>
    <col min="16132" max="16132" width="4.19921875" style="1" customWidth="1"/>
    <col min="16133" max="16133" width="8.09765625" style="1" customWidth="1"/>
    <col min="16134" max="16134" width="30.8984375" style="1" customWidth="1"/>
    <col min="16135" max="16135" width="4.5" style="1" customWidth="1"/>
    <col min="16136" max="16384" width="9" style="1"/>
  </cols>
  <sheetData>
    <row r="1" spans="1:7" ht="43.5" customHeight="1" x14ac:dyDescent="0.4">
      <c r="B1" s="77" t="s">
        <v>138</v>
      </c>
      <c r="C1" s="77"/>
      <c r="D1" s="77"/>
      <c r="E1" s="77"/>
      <c r="F1" s="77"/>
    </row>
    <row r="2" spans="1:7" ht="17.25" customHeight="1" x14ac:dyDescent="0.4"/>
    <row r="3" spans="1:7" s="2" customFormat="1" ht="17.25" customHeight="1" x14ac:dyDescent="0.4">
      <c r="B3" s="51" t="str">
        <f>[2]변경데이터!C13&amp;"(이하 ″위탁자″라 한다)와 주식회사 일룸(이하 ″수탁자″라 한다)은 "</f>
        <v xml:space="preserve">주식회사 시디즈(이하 ″위탁자″라 한다)와 주식회사 일룸(이하 ″수탁자″라 한다)은 </v>
      </c>
      <c r="C3" s="51"/>
      <c r="D3" s="51"/>
      <c r="E3" s="51"/>
      <c r="F3" s="51"/>
    </row>
    <row r="4" spans="1:7" s="2" customFormat="1" ht="17.25" customHeight="1" x14ac:dyDescent="0.4">
      <c r="A4" s="4"/>
      <c r="B4" s="49" t="s">
        <v>139</v>
      </c>
      <c r="C4" s="49"/>
      <c r="D4" s="49"/>
      <c r="E4" s="49"/>
      <c r="F4" s="49"/>
      <c r="G4" s="4"/>
    </row>
    <row r="5" spans="1:7" s="2" customFormat="1" ht="17.25" customHeight="1" x14ac:dyDescent="0.4">
      <c r="A5" s="4"/>
      <c r="B5" s="5" t="s">
        <v>140</v>
      </c>
      <c r="C5" s="5"/>
      <c r="D5" s="5"/>
      <c r="E5" s="5"/>
      <c r="F5" s="5"/>
      <c r="G5" s="4"/>
    </row>
    <row r="6" spans="1:7" s="2" customFormat="1" ht="17.25" customHeight="1" x14ac:dyDescent="0.4">
      <c r="A6" s="4"/>
      <c r="B6" s="5"/>
      <c r="C6" s="5"/>
      <c r="D6" s="5"/>
      <c r="E6" s="5"/>
      <c r="F6" s="5"/>
      <c r="G6" s="4"/>
    </row>
    <row r="7" spans="1:7" s="2" customFormat="1" ht="17.25" customHeight="1" x14ac:dyDescent="0.4">
      <c r="B7" s="52" t="s">
        <v>9</v>
      </c>
      <c r="C7" s="52"/>
      <c r="D7" s="52"/>
      <c r="E7" s="52"/>
      <c r="F7" s="52"/>
    </row>
    <row r="8" spans="1:7" s="2" customFormat="1" ht="17.25" customHeight="1" x14ac:dyDescent="0.4">
      <c r="A8" s="4"/>
      <c r="B8" s="49" t="s">
        <v>141</v>
      </c>
      <c r="C8" s="49"/>
      <c r="D8" s="49"/>
      <c r="E8" s="49"/>
      <c r="F8" s="49"/>
      <c r="G8" s="4"/>
    </row>
    <row r="9" spans="1:7" s="2" customFormat="1" ht="17.25" customHeight="1" x14ac:dyDescent="0.4">
      <c r="B9" s="49" t="s">
        <v>142</v>
      </c>
      <c r="C9" s="49"/>
      <c r="D9" s="49"/>
      <c r="E9" s="49"/>
      <c r="F9" s="49"/>
    </row>
    <row r="10" spans="1:7" s="2" customFormat="1" ht="17.25" customHeight="1" x14ac:dyDescent="0.4">
      <c r="A10" s="4"/>
      <c r="B10" s="49"/>
      <c r="C10" s="49"/>
      <c r="D10" s="49"/>
      <c r="E10" s="49"/>
      <c r="F10" s="49"/>
      <c r="G10" s="4"/>
    </row>
    <row r="11" spans="1:7" s="2" customFormat="1" ht="17.25" customHeight="1" x14ac:dyDescent="0.4">
      <c r="A11" s="4"/>
      <c r="B11" s="52" t="s">
        <v>143</v>
      </c>
      <c r="C11" s="52"/>
      <c r="D11" s="52"/>
      <c r="E11" s="52"/>
      <c r="F11" s="52"/>
      <c r="G11" s="4"/>
    </row>
    <row r="12" spans="1:7" s="2" customFormat="1" ht="17.25" customHeight="1" x14ac:dyDescent="0.4">
      <c r="B12" s="49" t="s">
        <v>144</v>
      </c>
      <c r="C12" s="49"/>
      <c r="D12" s="49"/>
      <c r="E12" s="49"/>
      <c r="F12" s="49"/>
    </row>
    <row r="13" spans="1:7" s="2" customFormat="1" ht="17.25" customHeight="1" x14ac:dyDescent="0.4">
      <c r="A13" s="4"/>
      <c r="B13" s="49" t="s">
        <v>145</v>
      </c>
      <c r="C13" s="49"/>
      <c r="D13" s="49"/>
      <c r="E13" s="49"/>
      <c r="F13" s="49"/>
      <c r="G13" s="4"/>
    </row>
    <row r="14" spans="1:7" s="2" customFormat="1" ht="17.25" customHeight="1" x14ac:dyDescent="0.4">
      <c r="A14" s="4"/>
      <c r="B14" s="5" t="s">
        <v>146</v>
      </c>
      <c r="C14" s="5"/>
      <c r="D14" s="5"/>
      <c r="E14" s="5"/>
      <c r="F14" s="5"/>
      <c r="G14" s="4"/>
    </row>
    <row r="15" spans="1:7" s="2" customFormat="1" ht="17.25" customHeight="1" x14ac:dyDescent="0.4">
      <c r="B15" s="49"/>
      <c r="C15" s="49"/>
      <c r="D15" s="49"/>
      <c r="E15" s="49"/>
      <c r="F15" s="49"/>
    </row>
    <row r="16" spans="1:7" s="2" customFormat="1" ht="17.25" customHeight="1" x14ac:dyDescent="0.4">
      <c r="A16" s="4"/>
      <c r="B16" s="52" t="s">
        <v>147</v>
      </c>
      <c r="C16" s="52"/>
      <c r="D16" s="52"/>
      <c r="E16" s="52"/>
      <c r="F16" s="52"/>
      <c r="G16" s="4"/>
    </row>
    <row r="17" spans="1:7" s="2" customFormat="1" ht="17.25" customHeight="1" x14ac:dyDescent="0.4">
      <c r="A17" s="4"/>
      <c r="B17" s="5" t="s">
        <v>148</v>
      </c>
      <c r="C17" s="6"/>
      <c r="D17" s="6"/>
      <c r="E17" s="6"/>
      <c r="F17" s="6"/>
      <c r="G17" s="4"/>
    </row>
    <row r="18" spans="1:7" s="2" customFormat="1" ht="17.25" customHeight="1" x14ac:dyDescent="0.4">
      <c r="A18" s="4"/>
      <c r="B18" s="5" t="s">
        <v>149</v>
      </c>
      <c r="C18" s="6"/>
      <c r="D18" s="6"/>
      <c r="E18" s="6"/>
      <c r="F18" s="6"/>
      <c r="G18" s="4"/>
    </row>
    <row r="19" spans="1:7" s="2" customFormat="1" ht="17.25" customHeight="1" x14ac:dyDescent="0.4">
      <c r="B19" s="49"/>
      <c r="C19" s="49"/>
      <c r="D19" s="49"/>
      <c r="E19" s="49"/>
      <c r="F19" s="49"/>
    </row>
    <row r="20" spans="1:7" s="2" customFormat="1" ht="17.25" customHeight="1" x14ac:dyDescent="0.4">
      <c r="A20" s="4"/>
      <c r="B20" s="52" t="s">
        <v>150</v>
      </c>
      <c r="C20" s="52"/>
      <c r="D20" s="52"/>
      <c r="E20" s="52"/>
      <c r="F20" s="52"/>
      <c r="G20" s="4"/>
    </row>
    <row r="21" spans="1:7" s="2" customFormat="1" ht="17.25" customHeight="1" x14ac:dyDescent="0.4">
      <c r="B21" s="49" t="s">
        <v>151</v>
      </c>
      <c r="C21" s="49"/>
      <c r="D21" s="49"/>
      <c r="E21" s="49"/>
      <c r="F21" s="49"/>
    </row>
    <row r="22" spans="1:7" s="2" customFormat="1" ht="17.25" customHeight="1" x14ac:dyDescent="0.4">
      <c r="B22" s="78" t="s">
        <v>152</v>
      </c>
      <c r="C22" s="49"/>
      <c r="D22" s="49"/>
      <c r="E22" s="49"/>
      <c r="F22" s="49"/>
    </row>
    <row r="23" spans="1:7" s="2" customFormat="1" ht="17.25" customHeight="1" x14ac:dyDescent="0.4">
      <c r="B23" s="5"/>
      <c r="C23" s="5"/>
      <c r="D23" s="5"/>
      <c r="E23" s="5"/>
      <c r="F23" s="5"/>
    </row>
    <row r="24" spans="1:7" s="2" customFormat="1" ht="17.25" customHeight="1" x14ac:dyDescent="0.4">
      <c r="B24" s="52" t="s">
        <v>153</v>
      </c>
      <c r="C24" s="52"/>
      <c r="D24" s="52"/>
      <c r="E24" s="52"/>
      <c r="F24" s="52"/>
    </row>
    <row r="25" spans="1:7" s="2" customFormat="1" ht="17.25" customHeight="1" x14ac:dyDescent="0.4">
      <c r="A25" s="4"/>
      <c r="B25" s="49" t="s">
        <v>154</v>
      </c>
      <c r="C25" s="49"/>
      <c r="D25" s="49"/>
      <c r="E25" s="49"/>
      <c r="F25" s="49"/>
      <c r="G25" s="4"/>
    </row>
    <row r="26" spans="1:7" s="2" customFormat="1" ht="17.25" customHeight="1" x14ac:dyDescent="0.4">
      <c r="A26" s="4"/>
      <c r="B26" s="49" t="s">
        <v>155</v>
      </c>
      <c r="C26" s="49"/>
      <c r="D26" s="49"/>
      <c r="E26" s="49"/>
      <c r="F26" s="49"/>
      <c r="G26" s="4"/>
    </row>
    <row r="27" spans="1:7" s="2" customFormat="1" ht="17.25" customHeight="1" x14ac:dyDescent="0.4">
      <c r="A27" s="4"/>
      <c r="B27" s="49" t="s">
        <v>156</v>
      </c>
      <c r="C27" s="49"/>
      <c r="D27" s="49"/>
      <c r="E27" s="49"/>
      <c r="F27" s="49"/>
      <c r="G27" s="4"/>
    </row>
    <row r="28" spans="1:7" s="2" customFormat="1" ht="17.25" customHeight="1" x14ac:dyDescent="0.4">
      <c r="B28" s="49" t="s">
        <v>157</v>
      </c>
      <c r="C28" s="49"/>
      <c r="D28" s="49"/>
      <c r="E28" s="49"/>
      <c r="F28" s="49"/>
    </row>
    <row r="29" spans="1:7" s="2" customFormat="1" ht="17.25" customHeight="1" x14ac:dyDescent="0.4">
      <c r="B29" s="5"/>
      <c r="C29" s="5"/>
      <c r="D29" s="5"/>
      <c r="E29" s="5"/>
      <c r="F29" s="5"/>
    </row>
    <row r="30" spans="1:7" s="2" customFormat="1" ht="17.25" customHeight="1" x14ac:dyDescent="0.4">
      <c r="B30" s="52" t="s">
        <v>158</v>
      </c>
      <c r="C30" s="52"/>
      <c r="D30" s="52"/>
      <c r="E30" s="52"/>
      <c r="F30" s="52"/>
    </row>
    <row r="31" spans="1:7" s="2" customFormat="1" ht="17.25" customHeight="1" x14ac:dyDescent="0.4">
      <c r="B31" s="5" t="s">
        <v>159</v>
      </c>
      <c r="C31" s="6"/>
      <c r="D31" s="6"/>
      <c r="E31" s="6"/>
      <c r="F31" s="6"/>
    </row>
    <row r="32" spans="1:7" s="2" customFormat="1" ht="17.25" customHeight="1" x14ac:dyDescent="0.4">
      <c r="B32" s="5" t="s">
        <v>160</v>
      </c>
      <c r="C32" s="6"/>
      <c r="D32" s="6"/>
      <c r="E32" s="6"/>
      <c r="F32" s="6"/>
    </row>
    <row r="33" spans="1:7" s="2" customFormat="1" ht="17.25" customHeight="1" x14ac:dyDescent="0.4">
      <c r="B33" s="5" t="s">
        <v>161</v>
      </c>
      <c r="C33" s="6"/>
      <c r="D33" s="6"/>
      <c r="E33" s="6"/>
      <c r="F33" s="6"/>
    </row>
    <row r="34" spans="1:7" s="2" customFormat="1" ht="17.25" customHeight="1" x14ac:dyDescent="0.4">
      <c r="B34" s="5"/>
      <c r="C34" s="6"/>
      <c r="D34" s="6"/>
      <c r="E34" s="6"/>
      <c r="F34" s="6"/>
    </row>
    <row r="35" spans="1:7" s="2" customFormat="1" ht="17.25" customHeight="1" x14ac:dyDescent="0.4">
      <c r="B35" s="52" t="s">
        <v>162</v>
      </c>
      <c r="C35" s="52"/>
      <c r="D35" s="52"/>
      <c r="E35" s="52"/>
      <c r="F35" s="52"/>
    </row>
    <row r="36" spans="1:7" s="2" customFormat="1" ht="17.25" customHeight="1" x14ac:dyDescent="0.4">
      <c r="B36" s="5" t="s">
        <v>163</v>
      </c>
      <c r="C36" s="6"/>
      <c r="D36" s="6"/>
      <c r="E36" s="6"/>
      <c r="F36" s="6"/>
    </row>
    <row r="37" spans="1:7" s="2" customFormat="1" ht="17.25" customHeight="1" x14ac:dyDescent="0.4">
      <c r="B37" s="5" t="s">
        <v>164</v>
      </c>
      <c r="C37" s="6"/>
      <c r="D37" s="6"/>
      <c r="E37" s="6"/>
      <c r="F37" s="6"/>
    </row>
    <row r="38" spans="1:7" s="2" customFormat="1" ht="17.25" customHeight="1" x14ac:dyDescent="0.4">
      <c r="B38" s="5" t="s">
        <v>165</v>
      </c>
      <c r="C38" s="6"/>
      <c r="D38" s="6"/>
      <c r="E38" s="6"/>
      <c r="F38" s="6"/>
    </row>
    <row r="39" spans="1:7" s="2" customFormat="1" ht="17.25" customHeight="1" x14ac:dyDescent="0.4">
      <c r="B39" s="5" t="s">
        <v>166</v>
      </c>
      <c r="C39" s="6"/>
      <c r="D39" s="6"/>
      <c r="E39" s="6"/>
      <c r="F39" s="6"/>
    </row>
    <row r="40" spans="1:7" s="2" customFormat="1" ht="17.25" customHeight="1" x14ac:dyDescent="0.4">
      <c r="B40" s="5" t="s">
        <v>167</v>
      </c>
      <c r="C40" s="6"/>
      <c r="D40" s="6"/>
      <c r="E40" s="6"/>
      <c r="F40" s="6"/>
    </row>
    <row r="41" spans="1:7" s="2" customFormat="1" ht="17.25" customHeight="1" x14ac:dyDescent="0.4">
      <c r="B41" s="5" t="s">
        <v>168</v>
      </c>
      <c r="C41" s="6"/>
      <c r="D41" s="6"/>
      <c r="E41" s="6"/>
      <c r="F41" s="6"/>
    </row>
    <row r="42" spans="1:7" s="2" customFormat="1" ht="17.25" customHeight="1" x14ac:dyDescent="0.4">
      <c r="B42" s="5" t="s">
        <v>54</v>
      </c>
      <c r="C42" s="6"/>
      <c r="D42" s="6"/>
      <c r="E42" s="6"/>
      <c r="F42" s="6"/>
    </row>
    <row r="43" spans="1:7" s="2" customFormat="1" ht="17.25" customHeight="1" x14ac:dyDescent="0.4">
      <c r="B43" s="6"/>
      <c r="C43" s="6"/>
      <c r="D43" s="6"/>
      <c r="E43" s="6"/>
      <c r="F43" s="6"/>
    </row>
    <row r="44" spans="1:7" s="2" customFormat="1" ht="17.25" customHeight="1" x14ac:dyDescent="0.4">
      <c r="A44" s="4"/>
      <c r="B44" s="52" t="s">
        <v>169</v>
      </c>
      <c r="C44" s="52"/>
      <c r="D44" s="52"/>
      <c r="E44" s="52"/>
      <c r="F44" s="52"/>
      <c r="G44" s="4"/>
    </row>
    <row r="45" spans="1:7" s="2" customFormat="1" ht="17.25" customHeight="1" x14ac:dyDescent="0.4">
      <c r="A45" s="4"/>
      <c r="B45" s="5" t="s">
        <v>170</v>
      </c>
      <c r="C45" s="6"/>
      <c r="D45" s="6"/>
      <c r="E45" s="6"/>
      <c r="F45" s="6"/>
      <c r="G45" s="4"/>
    </row>
    <row r="46" spans="1:7" s="2" customFormat="1" ht="17.25" customHeight="1" x14ac:dyDescent="0.4">
      <c r="A46" s="4"/>
      <c r="B46" s="5" t="s">
        <v>171</v>
      </c>
      <c r="C46" s="6"/>
      <c r="D46" s="6"/>
      <c r="E46" s="6"/>
      <c r="F46" s="6"/>
      <c r="G46" s="4"/>
    </row>
    <row r="47" spans="1:7" s="2" customFormat="1" ht="17.25" customHeight="1" x14ac:dyDescent="0.4">
      <c r="A47" s="4"/>
      <c r="B47" s="5" t="s">
        <v>172</v>
      </c>
      <c r="C47" s="6"/>
      <c r="D47" s="6"/>
      <c r="E47" s="6"/>
      <c r="F47" s="6"/>
      <c r="G47" s="4"/>
    </row>
    <row r="48" spans="1:7" s="2" customFormat="1" ht="17.25" customHeight="1" x14ac:dyDescent="0.4">
      <c r="A48" s="4"/>
      <c r="B48" s="5" t="s">
        <v>173</v>
      </c>
      <c r="C48" s="6"/>
      <c r="D48" s="6"/>
      <c r="E48" s="6"/>
      <c r="F48" s="6"/>
      <c r="G48" s="4"/>
    </row>
    <row r="49" spans="1:7" s="2" customFormat="1" ht="17.25" customHeight="1" x14ac:dyDescent="0.4">
      <c r="A49" s="4"/>
      <c r="B49" s="5" t="s">
        <v>174</v>
      </c>
      <c r="C49" s="6"/>
      <c r="D49" s="6"/>
      <c r="E49" s="6"/>
      <c r="F49" s="6"/>
      <c r="G49" s="4"/>
    </row>
    <row r="50" spans="1:7" s="2" customFormat="1" ht="17.25" customHeight="1" x14ac:dyDescent="0.4">
      <c r="A50" s="4"/>
      <c r="B50" s="5" t="s">
        <v>175</v>
      </c>
      <c r="C50" s="6"/>
      <c r="D50" s="6"/>
      <c r="E50" s="6"/>
      <c r="F50" s="6"/>
      <c r="G50" s="4"/>
    </row>
    <row r="51" spans="1:7" s="2" customFormat="1" ht="17.25" customHeight="1" x14ac:dyDescent="0.4">
      <c r="A51" s="4"/>
      <c r="B51" s="5" t="s">
        <v>176</v>
      </c>
      <c r="C51" s="6"/>
      <c r="D51" s="6"/>
      <c r="E51" s="6"/>
      <c r="F51" s="6"/>
      <c r="G51" s="4"/>
    </row>
    <row r="52" spans="1:7" s="2" customFormat="1" ht="17.25" customHeight="1" x14ac:dyDescent="0.4">
      <c r="A52" s="4"/>
      <c r="B52" s="5" t="s">
        <v>177</v>
      </c>
      <c r="C52" s="6"/>
      <c r="D52" s="6"/>
      <c r="E52" s="6"/>
      <c r="F52" s="6"/>
      <c r="G52" s="4"/>
    </row>
    <row r="53" spans="1:7" s="2" customFormat="1" ht="17.25" customHeight="1" x14ac:dyDescent="0.4">
      <c r="A53" s="4"/>
      <c r="B53" s="5" t="s">
        <v>178</v>
      </c>
      <c r="C53" s="6"/>
      <c r="D53" s="6"/>
      <c r="E53" s="6"/>
      <c r="F53" s="6"/>
      <c r="G53" s="4"/>
    </row>
    <row r="54" spans="1:7" s="2" customFormat="1" ht="17.25" customHeight="1" x14ac:dyDescent="0.4">
      <c r="A54" s="4"/>
      <c r="B54" s="5" t="s">
        <v>179</v>
      </c>
      <c r="C54" s="6"/>
      <c r="D54" s="6"/>
      <c r="E54" s="6"/>
      <c r="F54" s="6"/>
      <c r="G54" s="4"/>
    </row>
    <row r="55" spans="1:7" s="2" customFormat="1" ht="17.25" customHeight="1" x14ac:dyDescent="0.4">
      <c r="A55" s="4"/>
      <c r="B55" s="5" t="s">
        <v>180</v>
      </c>
      <c r="C55" s="6"/>
      <c r="D55" s="6"/>
      <c r="E55" s="6"/>
      <c r="F55" s="6"/>
      <c r="G55" s="4"/>
    </row>
    <row r="56" spans="1:7" s="2" customFormat="1" ht="17.25" customHeight="1" x14ac:dyDescent="0.4">
      <c r="A56" s="4"/>
      <c r="B56" s="5" t="s">
        <v>181</v>
      </c>
      <c r="C56" s="6"/>
      <c r="D56" s="6"/>
      <c r="E56" s="6"/>
      <c r="F56" s="6"/>
      <c r="G56" s="4"/>
    </row>
    <row r="57" spans="1:7" s="2" customFormat="1" ht="17.25" customHeight="1" x14ac:dyDescent="0.4">
      <c r="A57" s="4"/>
      <c r="B57" s="5" t="s">
        <v>182</v>
      </c>
      <c r="C57" s="6"/>
      <c r="D57" s="6"/>
      <c r="E57" s="6"/>
      <c r="F57" s="6"/>
      <c r="G57" s="4"/>
    </row>
    <row r="58" spans="1:7" s="2" customFormat="1" ht="17.25" customHeight="1" x14ac:dyDescent="0.4">
      <c r="A58" s="4"/>
      <c r="B58" s="5"/>
      <c r="C58" s="6"/>
      <c r="D58" s="6"/>
      <c r="E58" s="6"/>
      <c r="F58" s="6"/>
      <c r="G58" s="4"/>
    </row>
    <row r="59" spans="1:7" s="2" customFormat="1" ht="17.25" customHeight="1" x14ac:dyDescent="0.4">
      <c r="B59" s="52" t="s">
        <v>183</v>
      </c>
      <c r="C59" s="52"/>
      <c r="D59" s="52"/>
      <c r="E59" s="52"/>
      <c r="F59" s="52"/>
    </row>
    <row r="60" spans="1:7" s="2" customFormat="1" ht="17.25" customHeight="1" x14ac:dyDescent="0.4">
      <c r="B60" s="5" t="s">
        <v>184</v>
      </c>
      <c r="C60" s="6"/>
      <c r="D60" s="6"/>
      <c r="E60" s="6"/>
      <c r="F60" s="6"/>
    </row>
    <row r="61" spans="1:7" s="2" customFormat="1" ht="17.25" customHeight="1" x14ac:dyDescent="0.4">
      <c r="B61" s="5" t="s">
        <v>185</v>
      </c>
      <c r="C61" s="6"/>
      <c r="D61" s="6"/>
      <c r="E61" s="6"/>
      <c r="F61" s="6"/>
    </row>
    <row r="62" spans="1:7" s="2" customFormat="1" ht="17.25" customHeight="1" x14ac:dyDescent="0.4">
      <c r="B62" s="5"/>
      <c r="C62" s="6"/>
      <c r="D62" s="6"/>
      <c r="E62" s="6"/>
      <c r="F62" s="6"/>
    </row>
    <row r="63" spans="1:7" s="2" customFormat="1" ht="17.25" customHeight="1" x14ac:dyDescent="0.4">
      <c r="A63" s="4"/>
      <c r="B63" s="52" t="s">
        <v>186</v>
      </c>
      <c r="C63" s="52"/>
      <c r="D63" s="52"/>
      <c r="E63" s="52"/>
      <c r="F63" s="52"/>
      <c r="G63" s="4"/>
    </row>
    <row r="64" spans="1:7" s="2" customFormat="1" ht="17.25" customHeight="1" x14ac:dyDescent="0.4">
      <c r="A64" s="4"/>
      <c r="B64" s="5" t="s">
        <v>187</v>
      </c>
      <c r="C64" s="6"/>
      <c r="D64" s="6"/>
      <c r="E64" s="6"/>
      <c r="F64" s="6"/>
      <c r="G64" s="4"/>
    </row>
    <row r="65" spans="1:7" s="2" customFormat="1" ht="17.25" customHeight="1" x14ac:dyDescent="0.4">
      <c r="A65" s="4"/>
      <c r="B65" s="5" t="s">
        <v>188</v>
      </c>
      <c r="C65" s="6"/>
      <c r="D65" s="6"/>
      <c r="E65" s="6"/>
      <c r="F65" s="6"/>
      <c r="G65" s="4"/>
    </row>
    <row r="66" spans="1:7" s="2" customFormat="1" ht="17.25" customHeight="1" x14ac:dyDescent="0.4">
      <c r="A66" s="4"/>
      <c r="B66" s="5"/>
      <c r="C66" s="6"/>
      <c r="D66" s="6"/>
      <c r="E66" s="6"/>
      <c r="F66" s="6"/>
      <c r="G66" s="4"/>
    </row>
    <row r="67" spans="1:7" s="2" customFormat="1" ht="17.25" customHeight="1" x14ac:dyDescent="0.4">
      <c r="B67" s="52" t="s">
        <v>80</v>
      </c>
      <c r="C67" s="52"/>
      <c r="D67" s="52"/>
      <c r="E67" s="52"/>
      <c r="F67" s="52"/>
    </row>
    <row r="68" spans="1:7" s="2" customFormat="1" ht="17.25" customHeight="1" x14ac:dyDescent="0.4">
      <c r="B68" s="5" t="s">
        <v>189</v>
      </c>
      <c r="C68" s="6"/>
      <c r="D68" s="6"/>
      <c r="E68" s="6"/>
      <c r="F68" s="6"/>
    </row>
    <row r="69" spans="1:7" s="2" customFormat="1" ht="17.25" customHeight="1" x14ac:dyDescent="0.4">
      <c r="B69" s="5" t="s">
        <v>190</v>
      </c>
      <c r="C69" s="6"/>
      <c r="D69" s="6"/>
      <c r="E69" s="6"/>
      <c r="F69" s="6"/>
    </row>
    <row r="70" spans="1:7" s="2" customFormat="1" ht="17.25" customHeight="1" x14ac:dyDescent="0.4">
      <c r="B70" s="5" t="s">
        <v>191</v>
      </c>
      <c r="C70" s="6"/>
      <c r="D70" s="6"/>
      <c r="E70" s="6"/>
      <c r="F70" s="6"/>
    </row>
    <row r="71" spans="1:7" s="2" customFormat="1" ht="17.25" customHeight="1" x14ac:dyDescent="0.4">
      <c r="B71" s="5" t="s">
        <v>192</v>
      </c>
      <c r="C71" s="6"/>
      <c r="D71" s="6"/>
      <c r="E71" s="6"/>
      <c r="F71" s="6"/>
    </row>
    <row r="72" spans="1:7" s="2" customFormat="1" ht="17.25" customHeight="1" x14ac:dyDescent="0.4">
      <c r="B72" s="5" t="s">
        <v>193</v>
      </c>
      <c r="C72" s="6"/>
      <c r="D72" s="6"/>
      <c r="E72" s="6"/>
      <c r="F72" s="6"/>
    </row>
    <row r="73" spans="1:7" s="2" customFormat="1" ht="17.25" customHeight="1" x14ac:dyDescent="0.4">
      <c r="B73" s="5" t="s">
        <v>194</v>
      </c>
      <c r="C73" s="6"/>
      <c r="D73" s="6"/>
      <c r="E73" s="6"/>
      <c r="F73" s="6"/>
    </row>
    <row r="74" spans="1:7" s="2" customFormat="1" ht="17.25" customHeight="1" x14ac:dyDescent="0.4">
      <c r="B74" s="5"/>
      <c r="C74" s="6"/>
      <c r="D74" s="6"/>
      <c r="E74" s="6"/>
      <c r="F74" s="6"/>
    </row>
    <row r="75" spans="1:7" s="2" customFormat="1" ht="17.25" customHeight="1" x14ac:dyDescent="0.4">
      <c r="B75" s="5"/>
      <c r="C75" s="6"/>
      <c r="D75" s="6"/>
      <c r="E75" s="6"/>
      <c r="F75" s="6"/>
    </row>
    <row r="76" spans="1:7" s="2" customFormat="1" ht="17.25" customHeight="1" x14ac:dyDescent="0.4">
      <c r="B76" s="5"/>
      <c r="C76" s="6"/>
      <c r="D76" s="6"/>
      <c r="E76" s="6"/>
      <c r="F76" s="6"/>
    </row>
    <row r="77" spans="1:7" s="2" customFormat="1" ht="17.25" customHeight="1" x14ac:dyDescent="0.4">
      <c r="B77" s="5" t="s">
        <v>195</v>
      </c>
      <c r="C77" s="6"/>
      <c r="D77" s="6"/>
      <c r="E77" s="6"/>
      <c r="F77" s="6"/>
    </row>
    <row r="78" spans="1:7" s="2" customFormat="1" ht="17.25" customHeight="1" x14ac:dyDescent="0.4">
      <c r="B78" s="5" t="s">
        <v>196</v>
      </c>
      <c r="C78" s="6"/>
      <c r="D78" s="6"/>
      <c r="E78" s="6"/>
      <c r="F78" s="6"/>
    </row>
    <row r="79" spans="1:7" s="2" customFormat="1" ht="17.25" customHeight="1" x14ac:dyDescent="0.4">
      <c r="B79" s="5"/>
      <c r="C79" s="6"/>
      <c r="D79" s="6"/>
      <c r="E79" s="6"/>
      <c r="F79" s="6"/>
    </row>
    <row r="80" spans="1:7" s="2" customFormat="1" ht="17.25" customHeight="1" x14ac:dyDescent="0.4">
      <c r="B80" s="5"/>
      <c r="C80" s="6"/>
      <c r="D80" s="6"/>
      <c r="E80" s="6"/>
      <c r="F80" s="6"/>
    </row>
    <row r="81" spans="1:7" s="2" customFormat="1" ht="17.25" customHeight="1" x14ac:dyDescent="0.4">
      <c r="B81" s="5"/>
      <c r="C81" s="6"/>
      <c r="D81" s="6"/>
      <c r="E81" s="6"/>
      <c r="F81" s="6"/>
    </row>
    <row r="82" spans="1:7" s="2" customFormat="1" ht="17.25" customHeight="1" x14ac:dyDescent="0.4">
      <c r="B82" s="53">
        <v>45980</v>
      </c>
      <c r="C82" s="54"/>
      <c r="D82" s="54"/>
      <c r="E82" s="54"/>
      <c r="F82" s="54"/>
    </row>
    <row r="83" spans="1:7" s="2" customFormat="1" ht="17.25" customHeight="1" x14ac:dyDescent="0.4">
      <c r="B83" s="4"/>
      <c r="C83" s="4"/>
      <c r="D83" s="4"/>
      <c r="E83" s="4"/>
      <c r="F83" s="4"/>
    </row>
    <row r="84" spans="1:7" s="2" customFormat="1" ht="17.25" customHeight="1" x14ac:dyDescent="0.4">
      <c r="A84" s="4"/>
      <c r="B84" s="49"/>
      <c r="C84" s="49"/>
      <c r="D84" s="49"/>
      <c r="E84" s="49"/>
      <c r="F84" s="49"/>
      <c r="G84" s="4"/>
    </row>
    <row r="85" spans="1:7" s="2" customFormat="1" ht="17.25" customHeight="1" x14ac:dyDescent="0.4">
      <c r="B85" s="2" t="s">
        <v>197</v>
      </c>
      <c r="C85" s="2" t="str">
        <f>[2]변경데이터!C12</f>
        <v>경기도 평택시 세교산단로 67-20</v>
      </c>
      <c r="E85" s="2" t="s">
        <v>198</v>
      </c>
      <c r="F85" s="2" t="s">
        <v>199</v>
      </c>
    </row>
    <row r="86" spans="1:7" s="2" customFormat="1" ht="17.25" customHeight="1" x14ac:dyDescent="0.4">
      <c r="C86" s="2" t="str">
        <f>[2]변경데이터!C13</f>
        <v>주식회사 시디즈</v>
      </c>
      <c r="F86" s="82" t="s">
        <v>204</v>
      </c>
    </row>
    <row r="87" spans="1:7" s="2" customFormat="1" ht="17.25" customHeight="1" x14ac:dyDescent="0.4">
      <c r="C87" s="2" t="str">
        <f>[2]변경데이터!C14&amp;"            (인)"</f>
        <v>대표이사 김태은            (인)</v>
      </c>
      <c r="F87" s="82" t="s">
        <v>205</v>
      </c>
    </row>
    <row r="88" spans="1:7" s="2" customFormat="1" ht="17.25" customHeight="1" x14ac:dyDescent="0.4"/>
    <row r="89" spans="1:7" s="2" customFormat="1" ht="17.25" customHeight="1" x14ac:dyDescent="0.4"/>
    <row r="90" spans="1:7" s="2" customFormat="1" ht="17.25" customHeight="1" x14ac:dyDescent="0.4"/>
    <row r="91" spans="1:7" s="2" customFormat="1" ht="17.25" customHeight="1" x14ac:dyDescent="0.4"/>
    <row r="92" spans="1:7" s="2" customFormat="1" ht="17.25" customHeight="1" x14ac:dyDescent="0.4"/>
    <row r="93" spans="1:7" s="2" customFormat="1" ht="17.25" customHeight="1" x14ac:dyDescent="0.4"/>
    <row r="94" spans="1:7" s="2" customFormat="1" ht="17.25" customHeight="1" x14ac:dyDescent="0.4"/>
    <row r="95" spans="1:7" s="2" customFormat="1" ht="17.25" customHeight="1" x14ac:dyDescent="0.4"/>
  </sheetData>
  <mergeCells count="29">
    <mergeCell ref="B59:F59"/>
    <mergeCell ref="B63:F63"/>
    <mergeCell ref="B67:F67"/>
    <mergeCell ref="B82:F82"/>
    <mergeCell ref="B84:F84"/>
    <mergeCell ref="B44:F44"/>
    <mergeCell ref="B19:F19"/>
    <mergeCell ref="B20:F20"/>
    <mergeCell ref="B21:F21"/>
    <mergeCell ref="B22:F22"/>
    <mergeCell ref="B24:F24"/>
    <mergeCell ref="B25:F25"/>
    <mergeCell ref="B26:F26"/>
    <mergeCell ref="B27:F27"/>
    <mergeCell ref="B28:F28"/>
    <mergeCell ref="B30:F30"/>
    <mergeCell ref="B35:F35"/>
    <mergeCell ref="B16:F16"/>
    <mergeCell ref="B1:F1"/>
    <mergeCell ref="B3:F3"/>
    <mergeCell ref="B4:F4"/>
    <mergeCell ref="B7:F7"/>
    <mergeCell ref="B8:F8"/>
    <mergeCell ref="B9:F9"/>
    <mergeCell ref="B10:F10"/>
    <mergeCell ref="B11:F11"/>
    <mergeCell ref="B12:F12"/>
    <mergeCell ref="B13:F13"/>
    <mergeCell ref="B15:F15"/>
  </mergeCells>
  <phoneticPr fontId="4" type="noConversion"/>
  <printOptions horizontalCentered="1"/>
  <pageMargins left="0.7" right="0.7" top="0.75" bottom="0.75" header="0.3" footer="0.3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알로소_용역계약서</vt:lpstr>
      <vt:lpstr>시디즈_업무기술서</vt:lpstr>
      <vt:lpstr>산정근거</vt:lpstr>
      <vt:lpstr>시디즈_개인정보</vt:lpstr>
      <vt:lpstr>산정근거!Print_Area</vt:lpstr>
      <vt:lpstr>시디즈_개인정보!Print_Area</vt:lpstr>
      <vt:lpstr>시디즈_업무기술서!Print_Area</vt:lpstr>
      <vt:lpstr>알로소_용역계약서!Print_Area</vt:lpstr>
    </vt:vector>
  </TitlesOfParts>
  <Manager/>
  <Company>FURSYS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한병화 (Byunghwa Han)</dc:creator>
  <cp:keywords/>
  <dc:description/>
  <cp:lastModifiedBy>김현주 (Hyunjoo Kim)</cp:lastModifiedBy>
  <cp:revision/>
  <dcterms:created xsi:type="dcterms:W3CDTF">2025-11-12T23:41:53Z</dcterms:created>
  <dcterms:modified xsi:type="dcterms:W3CDTF">2025-11-20T08:09:43Z</dcterms:modified>
  <cp:category/>
  <cp:contentStatus/>
</cp:coreProperties>
</file>